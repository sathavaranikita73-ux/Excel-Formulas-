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OneDrive\Desktop\NIKITA\ADANI WORK FILES ALL\"/>
    </mc:Choice>
  </mc:AlternateContent>
  <bookViews>
    <workbookView xWindow="0" yWindow="0" windowWidth="20490" windowHeight="7635" firstSheet="1" activeTab="9"/>
  </bookViews>
  <sheets>
    <sheet name=" Task-1" sheetId="2" r:id="rId1"/>
    <sheet name="Task-2" sheetId="1" r:id="rId2"/>
    <sheet name="Task-3" sheetId="3" r:id="rId3"/>
    <sheet name="Task-4" sheetId="4" r:id="rId4"/>
    <sheet name="Task-5" sheetId="5" r:id="rId5"/>
    <sheet name="Task-6" sheetId="6" r:id="rId6"/>
    <sheet name="Task-7" sheetId="7" r:id="rId7"/>
    <sheet name="Task-8" sheetId="8" r:id="rId8"/>
    <sheet name="Task-9" sheetId="9" r:id="rId9"/>
    <sheet name="Task-10" sheetId="10" r:id="rId10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4" i="7" l="1"/>
  <c r="J5" i="7"/>
  <c r="I7" i="3"/>
  <c r="M6" i="6"/>
  <c r="M7" i="6"/>
  <c r="M8" i="6"/>
  <c r="M9" i="6"/>
  <c r="M10" i="6"/>
  <c r="N7" i="6"/>
  <c r="N8" i="6"/>
  <c r="N9" i="6"/>
  <c r="N10" i="6"/>
  <c r="N6" i="6"/>
  <c r="J11" i="5"/>
  <c r="I11" i="5"/>
  <c r="K8" i="5"/>
  <c r="J8" i="5"/>
  <c r="I8" i="5"/>
  <c r="I8" i="4"/>
  <c r="I7" i="4"/>
  <c r="I6" i="4"/>
  <c r="I5" i="4"/>
  <c r="I8" i="3"/>
  <c r="I9" i="3"/>
  <c r="I10" i="3"/>
  <c r="I11" i="3"/>
</calcChain>
</file>

<file path=xl/sharedStrings.xml><?xml version="1.0" encoding="utf-8"?>
<sst xmlns="http://schemas.openxmlformats.org/spreadsheetml/2006/main" count="198" uniqueCount="134">
  <si>
    <t>Employee sheet</t>
  </si>
  <si>
    <t>Name</t>
  </si>
  <si>
    <t>Department</t>
  </si>
  <si>
    <t>Salary</t>
  </si>
  <si>
    <t>Joining Date</t>
  </si>
  <si>
    <t>Employee ID</t>
  </si>
  <si>
    <t>E101</t>
  </si>
  <si>
    <t>E102</t>
  </si>
  <si>
    <t>E103</t>
  </si>
  <si>
    <t>E104</t>
  </si>
  <si>
    <t>E105</t>
  </si>
  <si>
    <t>Amit sharma</t>
  </si>
  <si>
    <t>Neha Verma</t>
  </si>
  <si>
    <t>rahul Mehta</t>
  </si>
  <si>
    <t>Pooja Singh</t>
  </si>
  <si>
    <t>Ankit Patel</t>
  </si>
  <si>
    <t>HR</t>
  </si>
  <si>
    <t>IT</t>
  </si>
  <si>
    <t>Finance</t>
  </si>
  <si>
    <t>Sales</t>
  </si>
  <si>
    <t>Monthly Sales Report</t>
  </si>
  <si>
    <t>Product Name</t>
  </si>
  <si>
    <t>Region</t>
  </si>
  <si>
    <t>Sales Amount</t>
  </si>
  <si>
    <t>Sales Person</t>
  </si>
  <si>
    <t>Laptop Dell Inspiron 15</t>
  </si>
  <si>
    <t>HP Wireless Mouse</t>
  </si>
  <si>
    <t>Samsung 24-inch Monitor</t>
  </si>
  <si>
    <t>Lenovo Thinkpad E14 Laptop</t>
  </si>
  <si>
    <t xml:space="preserve">North </t>
  </si>
  <si>
    <t>West</t>
  </si>
  <si>
    <t>East</t>
  </si>
  <si>
    <t>South</t>
  </si>
  <si>
    <t>Ramesh</t>
  </si>
  <si>
    <t>Sheha</t>
  </si>
  <si>
    <t>Arjun</t>
  </si>
  <si>
    <t>Kavita</t>
  </si>
  <si>
    <t>Student Marks sheet</t>
  </si>
  <si>
    <t>Roll No</t>
  </si>
  <si>
    <t>Student Name</t>
  </si>
  <si>
    <t>Math</t>
  </si>
  <si>
    <t>English</t>
  </si>
  <si>
    <t>Science</t>
  </si>
  <si>
    <t>Percentage</t>
  </si>
  <si>
    <t>Akash</t>
  </si>
  <si>
    <t>Bhavya</t>
  </si>
  <si>
    <t>Chirag</t>
  </si>
  <si>
    <t>Divya</t>
  </si>
  <si>
    <t>Esha</t>
  </si>
  <si>
    <t>Sales Summary</t>
  </si>
  <si>
    <t>Invoice No</t>
  </si>
  <si>
    <t>Date</t>
  </si>
  <si>
    <t>INV001</t>
  </si>
  <si>
    <t>INV002</t>
  </si>
  <si>
    <t>INV003</t>
  </si>
  <si>
    <t>INV004</t>
  </si>
  <si>
    <t>INV005</t>
  </si>
  <si>
    <t>Avrage Sale</t>
  </si>
  <si>
    <t>Minimum</t>
  </si>
  <si>
    <t>Maximum</t>
  </si>
  <si>
    <t>Total Sale</t>
  </si>
  <si>
    <t>Department Wise Salary</t>
  </si>
  <si>
    <t>Employee Name</t>
  </si>
  <si>
    <t>Suresh</t>
  </si>
  <si>
    <t>Meena</t>
  </si>
  <si>
    <t>Karan</t>
  </si>
  <si>
    <t>Ritu</t>
  </si>
  <si>
    <t>Aman</t>
  </si>
  <si>
    <t>Neel</t>
  </si>
  <si>
    <t>Total Salary Per Department</t>
  </si>
  <si>
    <t>Avrage Salary</t>
  </si>
  <si>
    <t>Count Employees</t>
  </si>
  <si>
    <t>Attendence sheet</t>
  </si>
  <si>
    <t>Day-1</t>
  </si>
  <si>
    <t>Day-2</t>
  </si>
  <si>
    <t>Day-3</t>
  </si>
  <si>
    <t>Day-4</t>
  </si>
  <si>
    <t>Day-5</t>
  </si>
  <si>
    <t>Nikita</t>
  </si>
  <si>
    <t>p</t>
  </si>
  <si>
    <t>a</t>
  </si>
  <si>
    <t>Present</t>
  </si>
  <si>
    <t>Absent</t>
  </si>
  <si>
    <t>Order ID</t>
  </si>
  <si>
    <t>Sales Count Logic</t>
  </si>
  <si>
    <t>Above</t>
  </si>
  <si>
    <t>Below</t>
  </si>
  <si>
    <t>Count</t>
  </si>
  <si>
    <t>Product</t>
  </si>
  <si>
    <t>Mobile</t>
  </si>
  <si>
    <t>Headphones</t>
  </si>
  <si>
    <t>Laptop</t>
  </si>
  <si>
    <t>Keyboard</t>
  </si>
  <si>
    <t>Tablet</t>
  </si>
  <si>
    <t>Highest Sale</t>
  </si>
  <si>
    <t>Lowest Sale</t>
  </si>
  <si>
    <t>Marks</t>
  </si>
  <si>
    <t>Bharti</t>
  </si>
  <si>
    <t>Chetan</t>
  </si>
  <si>
    <t>Deepa</t>
  </si>
  <si>
    <t>Red</t>
  </si>
  <si>
    <t>Green</t>
  </si>
  <si>
    <t>Rohit</t>
  </si>
  <si>
    <t>Vijay</t>
  </si>
  <si>
    <t>Nisha</t>
  </si>
  <si>
    <t>Meet</t>
  </si>
  <si>
    <t>Yellow</t>
  </si>
  <si>
    <t>30000 - 49999</t>
  </si>
  <si>
    <t>Format header row (Bold, Color)</t>
  </si>
  <si>
    <t>Salary → Currency (₹)</t>
  </si>
  <si>
    <t>Date → Date format</t>
  </si>
  <si>
    <t>Apply borders and auto-fit columns</t>
  </si>
  <si>
    <t>TASK</t>
  </si>
  <si>
    <t xml:space="preserve">Add title Monthly Sales Report
Merge &amp; center title
Wrap text for product names
Currency format for sales
</t>
  </si>
  <si>
    <t>Calculate Percentage</t>
  </si>
  <si>
    <t>Format percentage column</t>
  </si>
  <si>
    <t>Apply cell styles to headers</t>
  </si>
  <si>
    <t>Calculate Total Sales</t>
  </si>
  <si>
    <t>Find Average Sales</t>
  </si>
  <si>
    <t>Identify Highest &amp; Lowest Sale</t>
  </si>
  <si>
    <t>Total salary per department</t>
  </si>
  <si>
    <t>Average salary</t>
  </si>
  <si>
    <t>Count employees</t>
  </si>
  <si>
    <t>Count Present days</t>
  </si>
  <si>
    <t>Count Absent days</t>
  </si>
  <si>
    <t>Count sales above 10000</t>
  </si>
  <si>
    <t>Count sales below 5000</t>
  </si>
  <si>
    <t>Highlight sales &gt; 20000 (Green)</t>
  </si>
  <si>
    <t>Highlight sales &lt; 5000 (Red)</t>
  </si>
  <si>
    <t>Marks ≥ 75 → Green</t>
  </si>
  <si>
    <t>Marks &lt; 40 → Red</t>
  </si>
  <si>
    <t>≥ 50000 → Dark Green</t>
  </si>
  <si>
    <t>30000–49999 → Yellow</t>
  </si>
  <si>
    <t>&lt; 30000 → Light 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</si>
</sst>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 [$₹-4009]\ * #,##0_ ;_ [$₹-4009]\ * \-#,##0_ ;_ [$₹-4009]\ * &quot;-&quot;??_ ;_ @_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1F2328"/>
      <name val="Segoe UI"/>
      <family val="2"/>
    </font>
    <font>
      <b/>
      <sz val="14"/>
      <color theme="1"/>
      <name val="Algerian"/>
      <family val="5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164" fontId="0" fillId="0" borderId="1" xfId="0" applyNumberFormat="1" applyFont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/>
    <xf numFmtId="0" fontId="2" fillId="0" borderId="1" xfId="0" applyFont="1" applyBorder="1"/>
    <xf numFmtId="2" fontId="2" fillId="0" borderId="1" xfId="0" applyNumberFormat="1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left" vertical="center" indent="1"/>
    </xf>
    <xf numFmtId="0" fontId="2" fillId="0" borderId="0" xfId="0" applyFont="1"/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wrapText="1"/>
    </xf>
    <xf numFmtId="0" fontId="6" fillId="2" borderId="1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1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12"/>
  <sheetViews>
    <sheetView workbookViewId="0">
      <selection activeCell="H14" sqref="H14"/>
    </sheetView>
  </sheetViews>
  <sheetFormatPr defaultRowHeight="15" x14ac:dyDescent="0.25"/>
  <cols>
    <col min="1" max="1" width="38.7109375" bestFit="1" customWidth="1"/>
    <col min="3" max="3" width="12.140625" bestFit="1" customWidth="1"/>
    <col min="4" max="5" width="12.140625" customWidth="1"/>
    <col min="6" max="6" width="11.7109375" customWidth="1"/>
    <col min="7" max="7" width="11.5703125" bestFit="1" customWidth="1"/>
    <col min="8" max="8" width="11.85546875" bestFit="1" customWidth="1"/>
  </cols>
  <sheetData>
    <row r="3" spans="1:8" x14ac:dyDescent="0.25">
      <c r="A3" s="25" t="s">
        <v>112</v>
      </c>
    </row>
    <row r="4" spans="1:8" ht="17.25" x14ac:dyDescent="0.25">
      <c r="A4" s="24" t="s">
        <v>108</v>
      </c>
      <c r="D4" s="15" t="s">
        <v>0</v>
      </c>
      <c r="E4" s="16"/>
      <c r="F4" s="16"/>
      <c r="G4" s="16"/>
      <c r="H4" s="17"/>
    </row>
    <row r="5" spans="1:8" ht="17.25" x14ac:dyDescent="0.25">
      <c r="A5" s="24" t="s">
        <v>109</v>
      </c>
      <c r="D5" s="18"/>
      <c r="E5" s="19"/>
      <c r="F5" s="19"/>
      <c r="G5" s="19"/>
      <c r="H5" s="20"/>
    </row>
    <row r="6" spans="1:8" ht="17.25" x14ac:dyDescent="0.25">
      <c r="A6" s="24" t="s">
        <v>110</v>
      </c>
    </row>
    <row r="7" spans="1:8" ht="17.25" x14ac:dyDescent="0.25">
      <c r="A7" s="24" t="s">
        <v>111</v>
      </c>
      <c r="D7" s="10" t="s">
        <v>5</v>
      </c>
      <c r="E7" s="10" t="s">
        <v>1</v>
      </c>
      <c r="F7" s="10" t="s">
        <v>2</v>
      </c>
      <c r="G7" s="10" t="s">
        <v>3</v>
      </c>
      <c r="H7" s="10" t="s">
        <v>4</v>
      </c>
    </row>
    <row r="8" spans="1:8" x14ac:dyDescent="0.25">
      <c r="D8" s="2" t="s">
        <v>6</v>
      </c>
      <c r="E8" s="2" t="s">
        <v>11</v>
      </c>
      <c r="F8" s="2" t="s">
        <v>16</v>
      </c>
      <c r="G8" s="26">
        <v>32000</v>
      </c>
      <c r="H8" s="3">
        <v>44573</v>
      </c>
    </row>
    <row r="9" spans="1:8" x14ac:dyDescent="0.25">
      <c r="D9" s="2" t="s">
        <v>7</v>
      </c>
      <c r="E9" s="2" t="s">
        <v>12</v>
      </c>
      <c r="F9" s="2" t="s">
        <v>17</v>
      </c>
      <c r="G9" s="26">
        <v>45000</v>
      </c>
      <c r="H9" s="3">
        <v>44260</v>
      </c>
    </row>
    <row r="10" spans="1:8" x14ac:dyDescent="0.25">
      <c r="D10" s="2" t="s">
        <v>8</v>
      </c>
      <c r="E10" s="2" t="s">
        <v>13</v>
      </c>
      <c r="F10" s="2" t="s">
        <v>18</v>
      </c>
      <c r="G10" s="26">
        <v>38000</v>
      </c>
      <c r="H10" s="3">
        <v>44030</v>
      </c>
    </row>
    <row r="11" spans="1:8" x14ac:dyDescent="0.25">
      <c r="D11" s="2" t="s">
        <v>9</v>
      </c>
      <c r="E11" s="2" t="s">
        <v>14</v>
      </c>
      <c r="F11" s="2" t="s">
        <v>17</v>
      </c>
      <c r="G11" s="26">
        <v>52000</v>
      </c>
      <c r="H11" s="3">
        <v>43779</v>
      </c>
    </row>
    <row r="12" spans="1:8" x14ac:dyDescent="0.25">
      <c r="D12" s="2" t="s">
        <v>10</v>
      </c>
      <c r="E12" s="2" t="s">
        <v>15</v>
      </c>
      <c r="F12" s="2" t="s">
        <v>19</v>
      </c>
      <c r="G12" s="26">
        <v>30000</v>
      </c>
      <c r="H12" s="3">
        <v>45102</v>
      </c>
    </row>
  </sheetData>
  <mergeCells count="1">
    <mergeCell ref="D4:H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0"/>
  <sheetViews>
    <sheetView workbookViewId="0">
      <selection activeCell="A2" sqref="A2"/>
    </sheetView>
  </sheetViews>
  <sheetFormatPr defaultRowHeight="15" x14ac:dyDescent="0.25"/>
  <cols>
    <col min="1" max="1" width="37.7109375" customWidth="1"/>
    <col min="4" max="4" width="13.7109375" customWidth="1"/>
    <col min="5" max="5" width="7.140625" customWidth="1"/>
    <col min="6" max="6" width="13.28515625" bestFit="1" customWidth="1"/>
    <col min="7" max="7" width="12.140625" bestFit="1" customWidth="1"/>
  </cols>
  <sheetData>
    <row r="2" spans="1:7" x14ac:dyDescent="0.25">
      <c r="A2" s="25" t="s">
        <v>112</v>
      </c>
    </row>
    <row r="3" spans="1:7" ht="73.5" customHeight="1" x14ac:dyDescent="0.25">
      <c r="A3" s="27" t="s">
        <v>113</v>
      </c>
      <c r="D3" s="21" t="s">
        <v>20</v>
      </c>
      <c r="E3" s="21"/>
      <c r="F3" s="21"/>
      <c r="G3" s="21"/>
    </row>
    <row r="4" spans="1:7" ht="15" customHeight="1" x14ac:dyDescent="0.25">
      <c r="D4" s="21"/>
      <c r="E4" s="21"/>
      <c r="F4" s="21"/>
      <c r="G4" s="21"/>
    </row>
    <row r="6" spans="1:7" x14ac:dyDescent="0.25">
      <c r="D6" s="4" t="s">
        <v>21</v>
      </c>
      <c r="E6" s="4" t="s">
        <v>22</v>
      </c>
      <c r="F6" s="4" t="s">
        <v>23</v>
      </c>
      <c r="G6" s="4" t="s">
        <v>24</v>
      </c>
    </row>
    <row r="7" spans="1:7" ht="30" x14ac:dyDescent="0.25">
      <c r="D7" s="6" t="s">
        <v>25</v>
      </c>
      <c r="E7" s="5" t="s">
        <v>29</v>
      </c>
      <c r="F7" s="7">
        <v>45000</v>
      </c>
      <c r="G7" s="5" t="s">
        <v>33</v>
      </c>
    </row>
    <row r="8" spans="1:7" ht="30" x14ac:dyDescent="0.25">
      <c r="D8" s="6" t="s">
        <v>26</v>
      </c>
      <c r="E8" s="5" t="s">
        <v>30</v>
      </c>
      <c r="F8" s="7">
        <v>1200</v>
      </c>
      <c r="G8" s="5" t="s">
        <v>34</v>
      </c>
    </row>
    <row r="9" spans="1:7" ht="30" x14ac:dyDescent="0.25">
      <c r="D9" s="6" t="s">
        <v>27</v>
      </c>
      <c r="E9" s="5" t="s">
        <v>31</v>
      </c>
      <c r="F9" s="7">
        <v>18000</v>
      </c>
      <c r="G9" s="5" t="s">
        <v>35</v>
      </c>
    </row>
    <row r="10" spans="1:7" ht="45" x14ac:dyDescent="0.25">
      <c r="D10" s="6" t="s">
        <v>28</v>
      </c>
      <c r="E10" s="5" t="s">
        <v>32</v>
      </c>
      <c r="F10" s="7">
        <v>62000</v>
      </c>
      <c r="G10" s="5" t="s">
        <v>36</v>
      </c>
    </row>
  </sheetData>
  <mergeCells count="1">
    <mergeCell ref="D3:G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11"/>
  <sheetViews>
    <sheetView workbookViewId="0">
      <selection activeCell="L8" sqref="L8"/>
    </sheetView>
  </sheetViews>
  <sheetFormatPr defaultRowHeight="15" x14ac:dyDescent="0.25"/>
  <cols>
    <col min="1" max="1" width="30" bestFit="1" customWidth="1"/>
    <col min="4" max="4" width="7.42578125" customWidth="1"/>
    <col min="5" max="5" width="13.85546875" bestFit="1" customWidth="1"/>
    <col min="6" max="6" width="5.5703125" customWidth="1"/>
    <col min="7" max="7" width="7.7109375" customWidth="1"/>
    <col min="8" max="8" width="7.28515625" customWidth="1"/>
    <col min="9" max="9" width="12.140625" bestFit="1" customWidth="1"/>
  </cols>
  <sheetData>
    <row r="2" spans="1:10" x14ac:dyDescent="0.25">
      <c r="A2" s="25" t="s">
        <v>112</v>
      </c>
      <c r="D2" s="28" t="s">
        <v>37</v>
      </c>
      <c r="E2" s="28"/>
      <c r="F2" s="28"/>
      <c r="G2" s="28"/>
      <c r="H2" s="28"/>
      <c r="I2" s="28"/>
    </row>
    <row r="3" spans="1:10" ht="17.25" x14ac:dyDescent="0.25">
      <c r="A3" s="24" t="s">
        <v>114</v>
      </c>
      <c r="D3" s="28"/>
      <c r="E3" s="28"/>
      <c r="F3" s="28"/>
      <c r="G3" s="28"/>
      <c r="H3" s="28"/>
      <c r="I3" s="28"/>
    </row>
    <row r="4" spans="1:10" ht="17.25" x14ac:dyDescent="0.25">
      <c r="A4" s="24" t="s">
        <v>115</v>
      </c>
    </row>
    <row r="5" spans="1:10" ht="17.25" x14ac:dyDescent="0.25">
      <c r="A5" s="24" t="s">
        <v>116</v>
      </c>
    </row>
    <row r="6" spans="1:10" x14ac:dyDescent="0.25">
      <c r="D6" s="4" t="s">
        <v>38</v>
      </c>
      <c r="E6" s="4" t="s">
        <v>39</v>
      </c>
      <c r="F6" s="4" t="s">
        <v>40</v>
      </c>
      <c r="G6" s="4" t="s">
        <v>42</v>
      </c>
      <c r="H6" s="4" t="s">
        <v>41</v>
      </c>
      <c r="I6" s="4" t="s">
        <v>43</v>
      </c>
      <c r="J6" s="8"/>
    </row>
    <row r="7" spans="1:10" x14ac:dyDescent="0.25">
      <c r="D7" s="2">
        <v>1</v>
      </c>
      <c r="E7" s="2" t="s">
        <v>44</v>
      </c>
      <c r="F7" s="2">
        <v>67</v>
      </c>
      <c r="G7" s="2">
        <v>65</v>
      </c>
      <c r="H7" s="2">
        <v>83</v>
      </c>
      <c r="I7" s="9">
        <f>SUM(F7:H7)/300</f>
        <v>0.71666666666666667</v>
      </c>
    </row>
    <row r="8" spans="1:10" x14ac:dyDescent="0.25">
      <c r="D8" s="2">
        <v>2</v>
      </c>
      <c r="E8" s="2" t="s">
        <v>45</v>
      </c>
      <c r="F8" s="2">
        <v>84</v>
      </c>
      <c r="G8" s="2">
        <v>63</v>
      </c>
      <c r="H8" s="2">
        <v>62</v>
      </c>
      <c r="I8" s="9">
        <f t="shared" ref="I8:I11" si="0">SUM(F8:H8)/300</f>
        <v>0.69666666666666666</v>
      </c>
    </row>
    <row r="9" spans="1:10" x14ac:dyDescent="0.25">
      <c r="D9" s="2">
        <v>3</v>
      </c>
      <c r="E9" s="2" t="s">
        <v>46</v>
      </c>
      <c r="F9" s="2">
        <v>78</v>
      </c>
      <c r="G9" s="2">
        <v>84</v>
      </c>
      <c r="H9" s="2">
        <v>62</v>
      </c>
      <c r="I9" s="9">
        <f t="shared" si="0"/>
        <v>0.7466666666666667</v>
      </c>
    </row>
    <row r="10" spans="1:10" x14ac:dyDescent="0.25">
      <c r="D10" s="2">
        <v>4</v>
      </c>
      <c r="E10" s="2" t="s">
        <v>47</v>
      </c>
      <c r="F10" s="2">
        <v>75</v>
      </c>
      <c r="G10" s="2">
        <v>61</v>
      </c>
      <c r="H10" s="2">
        <v>60</v>
      </c>
      <c r="I10" s="9">
        <f t="shared" si="0"/>
        <v>0.65333333333333332</v>
      </c>
    </row>
    <row r="11" spans="1:10" x14ac:dyDescent="0.25">
      <c r="D11" s="2">
        <v>5</v>
      </c>
      <c r="E11" s="2" t="s">
        <v>48</v>
      </c>
      <c r="F11" s="2">
        <v>55</v>
      </c>
      <c r="G11" s="2">
        <v>57</v>
      </c>
      <c r="H11" s="2">
        <v>60</v>
      </c>
      <c r="I11" s="9">
        <f t="shared" si="0"/>
        <v>0.57333333333333336</v>
      </c>
    </row>
  </sheetData>
  <mergeCells count="1">
    <mergeCell ref="D2:I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0"/>
  <sheetViews>
    <sheetView workbookViewId="0">
      <selection activeCell="A13" sqref="A13"/>
    </sheetView>
  </sheetViews>
  <sheetFormatPr defaultRowHeight="15" x14ac:dyDescent="0.25"/>
  <cols>
    <col min="1" max="1" width="33.5703125" bestFit="1" customWidth="1"/>
    <col min="4" max="4" width="10.42578125" bestFit="1" customWidth="1"/>
    <col min="5" max="5" width="11.140625" customWidth="1"/>
    <col min="6" max="6" width="13.28515625" bestFit="1" customWidth="1"/>
    <col min="8" max="8" width="12.140625" customWidth="1"/>
    <col min="9" max="9" width="11.140625" customWidth="1"/>
  </cols>
  <sheetData>
    <row r="2" spans="1:9" x14ac:dyDescent="0.25">
      <c r="D2" s="22" t="s">
        <v>49</v>
      </c>
      <c r="E2" s="22"/>
      <c r="F2" s="22"/>
    </row>
    <row r="3" spans="1:9" x14ac:dyDescent="0.25">
      <c r="A3" s="25" t="s">
        <v>112</v>
      </c>
      <c r="D3" s="22"/>
      <c r="E3" s="22"/>
      <c r="F3" s="22"/>
    </row>
    <row r="4" spans="1:9" ht="17.25" x14ac:dyDescent="0.25">
      <c r="A4" s="24" t="s">
        <v>117</v>
      </c>
    </row>
    <row r="5" spans="1:9" ht="17.25" x14ac:dyDescent="0.25">
      <c r="A5" s="24" t="s">
        <v>118</v>
      </c>
      <c r="D5" s="4" t="s">
        <v>50</v>
      </c>
      <c r="E5" s="4" t="s">
        <v>51</v>
      </c>
      <c r="F5" s="4" t="s">
        <v>23</v>
      </c>
      <c r="H5" s="12" t="s">
        <v>60</v>
      </c>
      <c r="I5" s="12">
        <f>SUM(F6:F10)</f>
        <v>92000</v>
      </c>
    </row>
    <row r="6" spans="1:9" ht="17.25" x14ac:dyDescent="0.25">
      <c r="A6" s="24" t="s">
        <v>119</v>
      </c>
      <c r="D6" s="2" t="s">
        <v>52</v>
      </c>
      <c r="E6" s="3">
        <v>45292</v>
      </c>
      <c r="F6" s="2">
        <v>12000</v>
      </c>
      <c r="H6" s="12" t="s">
        <v>57</v>
      </c>
      <c r="I6" s="12">
        <f>AVERAGE(F6:F10)</f>
        <v>18400</v>
      </c>
    </row>
    <row r="7" spans="1:9" x14ac:dyDescent="0.25">
      <c r="D7" s="2" t="s">
        <v>53</v>
      </c>
      <c r="E7" s="3">
        <v>45294</v>
      </c>
      <c r="F7" s="2">
        <v>25000</v>
      </c>
      <c r="H7" s="12" t="s">
        <v>58</v>
      </c>
      <c r="I7" s="12">
        <f>MIN(F6:F10)</f>
        <v>8000</v>
      </c>
    </row>
    <row r="8" spans="1:9" x14ac:dyDescent="0.25">
      <c r="D8" s="2" t="s">
        <v>54</v>
      </c>
      <c r="E8" s="3">
        <v>45296</v>
      </c>
      <c r="F8" s="2">
        <v>8000</v>
      </c>
      <c r="H8" s="12" t="s">
        <v>59</v>
      </c>
      <c r="I8" s="12">
        <f>MAX(F6:F10)</f>
        <v>32000</v>
      </c>
    </row>
    <row r="9" spans="1:9" x14ac:dyDescent="0.25">
      <c r="D9" s="2" t="s">
        <v>55</v>
      </c>
      <c r="E9" s="3">
        <v>44204</v>
      </c>
      <c r="F9" s="2">
        <v>32000</v>
      </c>
    </row>
    <row r="10" spans="1:9" x14ac:dyDescent="0.25">
      <c r="D10" s="2" t="s">
        <v>56</v>
      </c>
      <c r="E10" s="3">
        <v>45301</v>
      </c>
      <c r="F10" s="2">
        <v>15000</v>
      </c>
    </row>
  </sheetData>
  <mergeCells count="1">
    <mergeCell ref="D2:F3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11"/>
  <sheetViews>
    <sheetView workbookViewId="0">
      <selection activeCell="I16" sqref="I16"/>
    </sheetView>
  </sheetViews>
  <sheetFormatPr defaultRowHeight="15" x14ac:dyDescent="0.25"/>
  <cols>
    <col min="1" max="1" width="30.5703125" bestFit="1" customWidth="1"/>
    <col min="5" max="5" width="15.7109375" bestFit="1" customWidth="1"/>
    <col min="6" max="6" width="11.7109375" bestFit="1" customWidth="1"/>
    <col min="7" max="7" width="6.28515625" customWidth="1"/>
    <col min="9" max="9" width="12.85546875" bestFit="1" customWidth="1"/>
    <col min="10" max="10" width="21.7109375" customWidth="1"/>
  </cols>
  <sheetData>
    <row r="2" spans="1:11" x14ac:dyDescent="0.25">
      <c r="A2" s="25" t="s">
        <v>112</v>
      </c>
      <c r="E2" s="22" t="s">
        <v>61</v>
      </c>
      <c r="F2" s="22"/>
      <c r="G2" s="22"/>
    </row>
    <row r="3" spans="1:11" ht="17.25" x14ac:dyDescent="0.25">
      <c r="A3" s="24" t="s">
        <v>120</v>
      </c>
      <c r="E3" s="22"/>
      <c r="F3" s="22"/>
      <c r="G3" s="22"/>
    </row>
    <row r="4" spans="1:11" ht="17.25" x14ac:dyDescent="0.25">
      <c r="A4" s="24" t="s">
        <v>121</v>
      </c>
    </row>
    <row r="5" spans="1:11" ht="17.25" x14ac:dyDescent="0.25">
      <c r="A5" s="24" t="s">
        <v>122</v>
      </c>
      <c r="E5" s="4" t="s">
        <v>62</v>
      </c>
      <c r="F5" s="4" t="s">
        <v>2</v>
      </c>
      <c r="G5" s="4" t="s">
        <v>3</v>
      </c>
    </row>
    <row r="6" spans="1:11" x14ac:dyDescent="0.25">
      <c r="E6" s="2" t="s">
        <v>63</v>
      </c>
      <c r="F6" s="2" t="s">
        <v>16</v>
      </c>
      <c r="G6" s="2">
        <v>28000</v>
      </c>
      <c r="I6" s="23" t="s">
        <v>69</v>
      </c>
      <c r="J6" s="23"/>
      <c r="K6" s="23"/>
    </row>
    <row r="7" spans="1:11" x14ac:dyDescent="0.25">
      <c r="E7" s="2" t="s">
        <v>64</v>
      </c>
      <c r="F7" s="2" t="s">
        <v>17</v>
      </c>
      <c r="G7" s="2">
        <v>45000</v>
      </c>
      <c r="I7" s="1" t="s">
        <v>16</v>
      </c>
      <c r="J7" s="1" t="s">
        <v>17</v>
      </c>
      <c r="K7" s="1" t="s">
        <v>18</v>
      </c>
    </row>
    <row r="8" spans="1:11" x14ac:dyDescent="0.25">
      <c r="E8" s="2" t="s">
        <v>65</v>
      </c>
      <c r="F8" s="2" t="s">
        <v>17</v>
      </c>
      <c r="G8" s="2">
        <v>50000</v>
      </c>
      <c r="I8" s="14">
        <f>SUMIF($F$6:$F$11,I7,$G$6:$G$11)</f>
        <v>58000</v>
      </c>
      <c r="J8" s="14">
        <f>SUMIF($F$6:$F$11,J7,$G$6:$G$11)</f>
        <v>95000</v>
      </c>
      <c r="K8" s="14">
        <f>SUMIF($F$6:$F$11,K7,$G$6:$G$11)</f>
        <v>80000</v>
      </c>
    </row>
    <row r="9" spans="1:11" x14ac:dyDescent="0.25">
      <c r="E9" s="2" t="s">
        <v>66</v>
      </c>
      <c r="F9" s="2" t="s">
        <v>18</v>
      </c>
      <c r="G9" s="2">
        <v>42000</v>
      </c>
    </row>
    <row r="10" spans="1:11" x14ac:dyDescent="0.25">
      <c r="E10" s="2" t="s">
        <v>67</v>
      </c>
      <c r="F10" s="2" t="s">
        <v>16</v>
      </c>
      <c r="G10" s="2">
        <v>30000</v>
      </c>
      <c r="I10" s="1" t="s">
        <v>70</v>
      </c>
      <c r="J10" s="1" t="s">
        <v>71</v>
      </c>
    </row>
    <row r="11" spans="1:11" x14ac:dyDescent="0.25">
      <c r="E11" s="2" t="s">
        <v>68</v>
      </c>
      <c r="F11" s="2" t="s">
        <v>18</v>
      </c>
      <c r="G11" s="2">
        <v>38000</v>
      </c>
      <c r="I11" s="13">
        <f>AVERAGE(G6:G11)</f>
        <v>38833.333333333336</v>
      </c>
      <c r="J11" s="4">
        <f>COUNTA(E6:E11)</f>
        <v>6</v>
      </c>
    </row>
  </sheetData>
  <mergeCells count="2">
    <mergeCell ref="E2:G3"/>
    <mergeCell ref="I6:K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10"/>
  <sheetViews>
    <sheetView workbookViewId="0">
      <selection activeCell="A10" sqref="A10"/>
    </sheetView>
  </sheetViews>
  <sheetFormatPr defaultRowHeight="15" x14ac:dyDescent="0.25"/>
  <cols>
    <col min="1" max="1" width="22.140625" bestFit="1" customWidth="1"/>
    <col min="6" max="6" width="13.85546875" bestFit="1" customWidth="1"/>
    <col min="7" max="11" width="6" customWidth="1"/>
  </cols>
  <sheetData>
    <row r="2" spans="1:14" x14ac:dyDescent="0.25">
      <c r="A2" s="25" t="s">
        <v>112</v>
      </c>
      <c r="F2" s="21" t="s">
        <v>72</v>
      </c>
      <c r="G2" s="21"/>
      <c r="H2" s="21"/>
      <c r="I2" s="21"/>
      <c r="J2" s="21"/>
      <c r="K2" s="21"/>
    </row>
    <row r="3" spans="1:14" ht="17.25" x14ac:dyDescent="0.25">
      <c r="A3" s="24" t="s">
        <v>123</v>
      </c>
      <c r="F3" s="21"/>
      <c r="G3" s="21"/>
      <c r="H3" s="21"/>
      <c r="I3" s="21"/>
      <c r="J3" s="21"/>
      <c r="K3" s="21"/>
    </row>
    <row r="4" spans="1:14" ht="17.25" x14ac:dyDescent="0.25">
      <c r="A4" s="24" t="s">
        <v>124</v>
      </c>
    </row>
    <row r="5" spans="1:14" x14ac:dyDescent="0.25">
      <c r="F5" s="4" t="s">
        <v>39</v>
      </c>
      <c r="G5" s="4" t="s">
        <v>73</v>
      </c>
      <c r="H5" s="4" t="s">
        <v>74</v>
      </c>
      <c r="I5" s="4" t="s">
        <v>75</v>
      </c>
      <c r="J5" s="4" t="s">
        <v>76</v>
      </c>
      <c r="K5" s="4" t="s">
        <v>77</v>
      </c>
      <c r="M5" s="1" t="s">
        <v>81</v>
      </c>
      <c r="N5" s="1" t="s">
        <v>82</v>
      </c>
    </row>
    <row r="6" spans="1:14" x14ac:dyDescent="0.25">
      <c r="F6" s="4" t="s">
        <v>44</v>
      </c>
      <c r="G6" s="4" t="s">
        <v>79</v>
      </c>
      <c r="H6" s="4" t="s">
        <v>80</v>
      </c>
      <c r="I6" s="4" t="s">
        <v>80</v>
      </c>
      <c r="J6" s="4" t="s">
        <v>79</v>
      </c>
      <c r="K6" s="4" t="s">
        <v>79</v>
      </c>
      <c r="M6" s="2">
        <f>COUNTIF($G6:$K6,"p")</f>
        <v>3</v>
      </c>
      <c r="N6" s="2">
        <f>COUNTIF($G6:$K6,"a")</f>
        <v>2</v>
      </c>
    </row>
    <row r="7" spans="1:14" x14ac:dyDescent="0.25">
      <c r="F7" s="4" t="s">
        <v>45</v>
      </c>
      <c r="G7" s="4" t="s">
        <v>79</v>
      </c>
      <c r="H7" s="4" t="s">
        <v>79</v>
      </c>
      <c r="I7" s="4" t="s">
        <v>80</v>
      </c>
      <c r="J7" s="4" t="s">
        <v>80</v>
      </c>
      <c r="K7" s="4" t="s">
        <v>80</v>
      </c>
      <c r="M7" s="2">
        <f t="shared" ref="M7:M10" si="0">COUNTIF($G7:$K7,"p")</f>
        <v>2</v>
      </c>
      <c r="N7" s="2">
        <f t="shared" ref="N7:N10" si="1">COUNTIF($G7:$K7,"a")</f>
        <v>3</v>
      </c>
    </row>
    <row r="8" spans="1:14" x14ac:dyDescent="0.25">
      <c r="F8" s="4" t="s">
        <v>46</v>
      </c>
      <c r="G8" s="4" t="s">
        <v>79</v>
      </c>
      <c r="H8" s="4" t="s">
        <v>80</v>
      </c>
      <c r="I8" s="4" t="s">
        <v>79</v>
      </c>
      <c r="J8" s="4" t="s">
        <v>79</v>
      </c>
      <c r="K8" s="4" t="s">
        <v>79</v>
      </c>
      <c r="M8" s="2">
        <f t="shared" si="0"/>
        <v>4</v>
      </c>
      <c r="N8" s="2">
        <f t="shared" si="1"/>
        <v>1</v>
      </c>
    </row>
    <row r="9" spans="1:14" x14ac:dyDescent="0.25">
      <c r="F9" s="4" t="s">
        <v>47</v>
      </c>
      <c r="G9" s="4" t="s">
        <v>80</v>
      </c>
      <c r="H9" s="4" t="s">
        <v>79</v>
      </c>
      <c r="I9" s="4" t="s">
        <v>80</v>
      </c>
      <c r="J9" s="4" t="s">
        <v>80</v>
      </c>
      <c r="K9" s="4" t="s">
        <v>80</v>
      </c>
      <c r="M9" s="2">
        <f t="shared" si="0"/>
        <v>1</v>
      </c>
      <c r="N9" s="2">
        <f t="shared" si="1"/>
        <v>4</v>
      </c>
    </row>
    <row r="10" spans="1:14" x14ac:dyDescent="0.25">
      <c r="F10" s="4" t="s">
        <v>78</v>
      </c>
      <c r="G10" s="4" t="s">
        <v>79</v>
      </c>
      <c r="H10" s="4" t="s">
        <v>79</v>
      </c>
      <c r="I10" s="4" t="s">
        <v>80</v>
      </c>
      <c r="J10" s="4" t="s">
        <v>79</v>
      </c>
      <c r="K10" s="4" t="s">
        <v>79</v>
      </c>
      <c r="M10" s="2">
        <f t="shared" si="0"/>
        <v>4</v>
      </c>
      <c r="N10" s="2">
        <f t="shared" si="1"/>
        <v>1</v>
      </c>
    </row>
  </sheetData>
  <mergeCells count="1">
    <mergeCell ref="F2:K3"/>
  </mergeCells>
  <conditionalFormatting sqref="M6:N10">
    <cfRule type="cellIs" dxfId="9" priority="1" operator="equal">
      <formula>"p"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>
      <selection activeCell="C12" sqref="C12"/>
    </sheetView>
  </sheetViews>
  <sheetFormatPr defaultRowHeight="15" x14ac:dyDescent="0.25"/>
  <cols>
    <col min="1" max="1" width="28.140625" bestFit="1" customWidth="1"/>
    <col min="4" max="4" width="8.42578125" customWidth="1"/>
    <col min="5" max="5" width="13.28515625" bestFit="1" customWidth="1"/>
  </cols>
  <sheetData>
    <row r="1" spans="1:10" ht="15.75" x14ac:dyDescent="0.25">
      <c r="D1" s="22" t="s">
        <v>84</v>
      </c>
      <c r="E1" s="22"/>
      <c r="F1" s="22"/>
    </row>
    <row r="2" spans="1:10" x14ac:dyDescent="0.25">
      <c r="A2" s="25" t="s">
        <v>112</v>
      </c>
    </row>
    <row r="3" spans="1:10" ht="17.25" x14ac:dyDescent="0.25">
      <c r="A3" s="24" t="s">
        <v>125</v>
      </c>
      <c r="D3" s="4" t="s">
        <v>83</v>
      </c>
      <c r="E3" s="4" t="s">
        <v>23</v>
      </c>
    </row>
    <row r="4" spans="1:10" ht="17.25" x14ac:dyDescent="0.25">
      <c r="A4" s="24" t="s">
        <v>126</v>
      </c>
      <c r="D4" s="4">
        <v>101</v>
      </c>
      <c r="E4" s="4">
        <v>4500</v>
      </c>
      <c r="G4" s="12" t="s">
        <v>85</v>
      </c>
      <c r="H4" s="12">
        <v>10000</v>
      </c>
      <c r="I4" s="4" t="s">
        <v>87</v>
      </c>
      <c r="J4" s="11">
        <f>COUNTIF(E4:E9,"&gt;10000")</f>
        <v>3</v>
      </c>
    </row>
    <row r="5" spans="1:10" x14ac:dyDescent="0.25">
      <c r="D5" s="4">
        <v>102</v>
      </c>
      <c r="E5" s="4">
        <v>12000</v>
      </c>
      <c r="G5" s="12" t="s">
        <v>86</v>
      </c>
      <c r="H5" s="12">
        <v>5000</v>
      </c>
      <c r="I5" s="4" t="s">
        <v>87</v>
      </c>
      <c r="J5" s="11">
        <f>COUNTIF(E4:E9,"&lt;5000")</f>
        <v>2</v>
      </c>
    </row>
    <row r="6" spans="1:10" x14ac:dyDescent="0.25">
      <c r="D6" s="4">
        <v>103</v>
      </c>
      <c r="E6" s="4">
        <v>8000</v>
      </c>
    </row>
    <row r="7" spans="1:10" x14ac:dyDescent="0.25">
      <c r="D7" s="4">
        <v>104</v>
      </c>
      <c r="E7" s="4">
        <v>25000</v>
      </c>
    </row>
    <row r="8" spans="1:10" x14ac:dyDescent="0.25">
      <c r="D8" s="4">
        <v>105</v>
      </c>
      <c r="E8" s="4">
        <v>3000</v>
      </c>
    </row>
    <row r="9" spans="1:10" x14ac:dyDescent="0.25">
      <c r="D9" s="4">
        <v>106</v>
      </c>
      <c r="E9" s="4">
        <v>15000</v>
      </c>
    </row>
  </sheetData>
  <mergeCells count="1">
    <mergeCell ref="D1:F1"/>
  </mergeCells>
  <conditionalFormatting sqref="E4:E9">
    <cfRule type="cellIs" dxfId="8" priority="1" operator="lessThan">
      <formula>5000</formula>
    </cfRule>
    <cfRule type="cellIs" dxfId="7" priority="2" operator="greaterThan">
      <formula>10000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8"/>
  <sheetViews>
    <sheetView workbookViewId="0">
      <selection activeCell="C12" sqref="C12"/>
    </sheetView>
  </sheetViews>
  <sheetFormatPr defaultRowHeight="15" x14ac:dyDescent="0.25"/>
  <cols>
    <col min="1" max="1" width="35.140625" bestFit="1" customWidth="1"/>
    <col min="4" max="4" width="12.140625" bestFit="1" customWidth="1"/>
    <col min="5" max="5" width="13.28515625" bestFit="1" customWidth="1"/>
    <col min="7" max="7" width="11.85546875" bestFit="1" customWidth="1"/>
  </cols>
  <sheetData>
    <row r="3" spans="1:8" x14ac:dyDescent="0.25">
      <c r="A3" s="25" t="s">
        <v>112</v>
      </c>
      <c r="D3" s="4" t="s">
        <v>88</v>
      </c>
      <c r="E3" s="4" t="s">
        <v>23</v>
      </c>
      <c r="G3" s="4" t="s">
        <v>94</v>
      </c>
      <c r="H3" s="4">
        <v>20000</v>
      </c>
    </row>
    <row r="4" spans="1:8" ht="17.25" x14ac:dyDescent="0.25">
      <c r="A4" s="24" t="s">
        <v>127</v>
      </c>
      <c r="D4" s="5" t="s">
        <v>89</v>
      </c>
      <c r="E4" s="5">
        <v>22000</v>
      </c>
      <c r="G4" s="4" t="s">
        <v>95</v>
      </c>
      <c r="H4" s="4">
        <v>5000</v>
      </c>
    </row>
    <row r="5" spans="1:8" ht="17.25" x14ac:dyDescent="0.25">
      <c r="A5" s="24" t="s">
        <v>128</v>
      </c>
      <c r="D5" s="5" t="s">
        <v>90</v>
      </c>
      <c r="E5" s="5">
        <v>3500</v>
      </c>
    </row>
    <row r="6" spans="1:8" x14ac:dyDescent="0.25">
      <c r="D6" s="5" t="s">
        <v>91</v>
      </c>
      <c r="E6" s="5">
        <v>58000</v>
      </c>
    </row>
    <row r="7" spans="1:8" x14ac:dyDescent="0.25">
      <c r="D7" s="5" t="s">
        <v>92</v>
      </c>
      <c r="E7" s="5">
        <v>1800</v>
      </c>
    </row>
    <row r="8" spans="1:8" x14ac:dyDescent="0.25">
      <c r="D8" s="5" t="s">
        <v>93</v>
      </c>
      <c r="E8" s="5">
        <v>12000</v>
      </c>
    </row>
  </sheetData>
  <conditionalFormatting sqref="E4:E8">
    <cfRule type="cellIs" dxfId="6" priority="1" operator="lessThan">
      <formula>5000</formula>
    </cfRule>
    <cfRule type="cellIs" dxfId="5" priority="2" operator="greaterThan">
      <formula>20000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J8"/>
  <sheetViews>
    <sheetView workbookViewId="0">
      <selection activeCell="C18" sqref="C18"/>
    </sheetView>
  </sheetViews>
  <sheetFormatPr defaultRowHeight="15" x14ac:dyDescent="0.25"/>
  <cols>
    <col min="1" max="1" width="23.5703125" bestFit="1" customWidth="1"/>
  </cols>
  <sheetData>
    <row r="3" spans="1:10" x14ac:dyDescent="0.25">
      <c r="A3" s="25" t="s">
        <v>112</v>
      </c>
      <c r="D3" s="4" t="s">
        <v>38</v>
      </c>
      <c r="E3" s="4" t="s">
        <v>1</v>
      </c>
      <c r="F3" s="4" t="s">
        <v>96</v>
      </c>
    </row>
    <row r="4" spans="1:10" ht="17.25" x14ac:dyDescent="0.25">
      <c r="A4" s="24" t="s">
        <v>129</v>
      </c>
      <c r="D4" s="4">
        <v>1</v>
      </c>
      <c r="E4" s="4" t="s">
        <v>67</v>
      </c>
      <c r="F4" s="4">
        <v>85</v>
      </c>
      <c r="H4" s="4" t="s">
        <v>96</v>
      </c>
      <c r="I4" s="4">
        <v>75</v>
      </c>
      <c r="J4" s="4" t="s">
        <v>101</v>
      </c>
    </row>
    <row r="5" spans="1:10" ht="17.25" x14ac:dyDescent="0.25">
      <c r="A5" s="24" t="s">
        <v>130</v>
      </c>
      <c r="D5" s="4">
        <v>2</v>
      </c>
      <c r="E5" s="4" t="s">
        <v>97</v>
      </c>
      <c r="F5" s="4">
        <v>72</v>
      </c>
      <c r="H5" s="4" t="s">
        <v>96</v>
      </c>
      <c r="I5" s="4">
        <v>40</v>
      </c>
      <c r="J5" s="4" t="s">
        <v>100</v>
      </c>
    </row>
    <row r="6" spans="1:10" x14ac:dyDescent="0.25">
      <c r="D6" s="4">
        <v>3</v>
      </c>
      <c r="E6" s="4" t="s">
        <v>98</v>
      </c>
      <c r="F6" s="4">
        <v>39</v>
      </c>
    </row>
    <row r="7" spans="1:10" x14ac:dyDescent="0.25">
      <c r="D7" s="4">
        <v>4</v>
      </c>
      <c r="E7" s="4" t="s">
        <v>99</v>
      </c>
      <c r="F7" s="4">
        <v>91</v>
      </c>
    </row>
    <row r="8" spans="1:10" x14ac:dyDescent="0.25">
      <c r="D8" s="4">
        <v>5</v>
      </c>
      <c r="E8" s="4" t="s">
        <v>78</v>
      </c>
      <c r="F8" s="4">
        <v>28</v>
      </c>
    </row>
  </sheetData>
  <conditionalFormatting sqref="F4:F8">
    <cfRule type="cellIs" dxfId="4" priority="1" operator="lessThan">
      <formula>40</formula>
    </cfRule>
    <cfRule type="cellIs" dxfId="3" priority="2" operator="greaterThan">
      <formula>75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8"/>
  <sheetViews>
    <sheetView tabSelected="1" workbookViewId="0">
      <selection activeCell="D18" sqref="D18"/>
    </sheetView>
  </sheetViews>
  <sheetFormatPr defaultRowHeight="15" x14ac:dyDescent="0.25"/>
  <cols>
    <col min="1" max="1" width="26.7109375" bestFit="1" customWidth="1"/>
    <col min="4" max="4" width="15.7109375" bestFit="1" customWidth="1"/>
    <col min="7" max="7" width="12.5703125" bestFit="1" customWidth="1"/>
  </cols>
  <sheetData>
    <row r="3" spans="1:8" x14ac:dyDescent="0.25">
      <c r="A3" s="25" t="s">
        <v>112</v>
      </c>
      <c r="D3" s="2" t="s">
        <v>62</v>
      </c>
      <c r="E3" s="2" t="s">
        <v>3</v>
      </c>
      <c r="G3" s="4">
        <v>50000</v>
      </c>
      <c r="H3" s="4" t="s">
        <v>101</v>
      </c>
    </row>
    <row r="4" spans="1:8" ht="17.25" x14ac:dyDescent="0.25">
      <c r="A4" s="24" t="s">
        <v>131</v>
      </c>
      <c r="D4" s="2" t="s">
        <v>102</v>
      </c>
      <c r="E4" s="2">
        <v>28000</v>
      </c>
      <c r="G4" s="4" t="s">
        <v>107</v>
      </c>
      <c r="H4" s="4" t="s">
        <v>106</v>
      </c>
    </row>
    <row r="5" spans="1:8" ht="17.25" x14ac:dyDescent="0.25">
      <c r="A5" s="24" t="s">
        <v>132</v>
      </c>
      <c r="D5" s="2" t="s">
        <v>78</v>
      </c>
      <c r="E5" s="2">
        <v>34000</v>
      </c>
      <c r="G5" s="4">
        <v>30000</v>
      </c>
      <c r="H5" s="4" t="s">
        <v>100</v>
      </c>
    </row>
    <row r="6" spans="1:8" ht="17.25" x14ac:dyDescent="0.25">
      <c r="A6" s="24" t="s">
        <v>133</v>
      </c>
      <c r="D6" s="2" t="s">
        <v>103</v>
      </c>
      <c r="E6" s="2">
        <v>51000</v>
      </c>
    </row>
    <row r="7" spans="1:8" x14ac:dyDescent="0.25">
      <c r="D7" s="2" t="s">
        <v>104</v>
      </c>
      <c r="E7" s="2">
        <v>47000</v>
      </c>
    </row>
    <row r="8" spans="1:8" x14ac:dyDescent="0.25">
      <c r="D8" s="2" t="s">
        <v>105</v>
      </c>
      <c r="E8" s="2">
        <v>29000</v>
      </c>
    </row>
  </sheetData>
  <conditionalFormatting sqref="E4:E8">
    <cfRule type="cellIs" dxfId="2" priority="1" operator="between">
      <formula>30000</formula>
      <formula>49999</formula>
    </cfRule>
    <cfRule type="cellIs" dxfId="1" priority="2" operator="lessThan">
      <formula>30000</formula>
    </cfRule>
    <cfRule type="cellIs" dxfId="0" priority="3" operator="greaterThan">
      <formula>50000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 Task-1</vt:lpstr>
      <vt:lpstr>Task-2</vt:lpstr>
      <vt:lpstr>Task-3</vt:lpstr>
      <vt:lpstr>Task-4</vt:lpstr>
      <vt:lpstr>Task-5</vt:lpstr>
      <vt:lpstr>Task-6</vt:lpstr>
      <vt:lpstr>Task-7</vt:lpstr>
      <vt:lpstr>Task-8</vt:lpstr>
      <vt:lpstr>Task-9</vt:lpstr>
      <vt:lpstr>Task-10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2026-06-29T23:32:48Z</dcterms:created>
  <dcterms:modified xsi:type="dcterms:W3CDTF">2026-07-23T15:43:22Z</dcterms:modified>
</cp:coreProperties>
</file>