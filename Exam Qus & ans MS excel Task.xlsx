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NIKITA\ADANI WORK FILES ALL\"/>
    </mc:Choice>
  </mc:AlternateContent>
  <bookViews>
    <workbookView xWindow="0" yWindow="0" windowWidth="15345" windowHeight="4545" activeTab="1"/>
  </bookViews>
  <sheets>
    <sheet name="Task-Qustions" sheetId="1" r:id="rId1"/>
    <sheet name="Answers" sheetId="2" r:id="rId2"/>
  </sheets>
  <externalReferences>
    <externalReference r:id="rId3"/>
  </externalReferences>
  <calcPr calcId="152511"/>
  <pivotCaches>
    <pivotCache cacheId="0" r:id="rId4"/>
    <pivotCache cacheId="1" r:id="rId5"/>
    <pivotCache cacheId="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2" l="1"/>
  <c r="K23" i="2"/>
  <c r="K24" i="2"/>
  <c r="K25" i="2"/>
  <c r="K26" i="2"/>
  <c r="K21" i="2"/>
  <c r="C39" i="2"/>
  <c r="C48" i="2"/>
  <c r="C49" i="2"/>
  <c r="C50" i="2"/>
  <c r="C47" i="2"/>
  <c r="C68" i="2"/>
  <c r="C69" i="2"/>
  <c r="C70" i="2"/>
  <c r="C71" i="2"/>
  <c r="C72" i="2"/>
  <c r="C67" i="2"/>
  <c r="D86" i="2"/>
  <c r="D87" i="2"/>
  <c r="D85" i="2"/>
  <c r="F216" i="2"/>
  <c r="H108" i="2"/>
  <c r="C19" i="1" l="1"/>
  <c r="D17" i="1"/>
  <c r="D16" i="1"/>
  <c r="D15" i="1"/>
  <c r="H4" i="1" a="1"/>
  <c r="H8" i="1" s="1"/>
  <c r="I8" i="1" s="1"/>
  <c r="H5" i="1" l="1"/>
  <c r="I5" i="1" s="1"/>
  <c r="H9" i="1"/>
  <c r="I9" i="1" s="1"/>
  <c r="H6" i="1"/>
  <c r="I6" i="1" s="1"/>
  <c r="H7" i="1"/>
  <c r="I7" i="1" s="1"/>
  <c r="H4" i="1"/>
  <c r="I4" i="1" l="1"/>
  <c r="F11" i="1"/>
</calcChain>
</file>

<file path=xl/sharedStrings.xml><?xml version="1.0" encoding="utf-8"?>
<sst xmlns="http://schemas.openxmlformats.org/spreadsheetml/2006/main" count="535" uniqueCount="105">
  <si>
    <t>Order_ID</t>
  </si>
  <si>
    <t>Region</t>
  </si>
  <si>
    <t>Salesperson</t>
  </si>
  <si>
    <t>Product</t>
  </si>
  <si>
    <t>Quantity</t>
  </si>
  <si>
    <t>Unit_Price</t>
  </si>
  <si>
    <t>Sales_Date</t>
  </si>
  <si>
    <t>total</t>
  </si>
  <si>
    <t>gst amount</t>
  </si>
  <si>
    <t>North</t>
  </si>
  <si>
    <t>Amit</t>
  </si>
  <si>
    <t>Laptop</t>
  </si>
  <si>
    <t>05-01-2025</t>
  </si>
  <si>
    <t>Row Labels</t>
  </si>
  <si>
    <t>Sum of total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</si>
  <si>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</si>
  <si>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</si>
  <si>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</si>
  <si>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</si>
  <si>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</si>
  <si>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</si>
  <si>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</si>
  <si>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</si>
  <si>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</si>
  <si>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</si>
  <si>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</si>
  <si>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</si>
  <si>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Grand Total</t>
  </si>
  <si>
    <t>18-01-2025</t>
  </si>
  <si>
    <t>Category</t>
  </si>
  <si>
    <t>GST_%</t>
  </si>
  <si>
    <t>Electronics</t>
  </si>
  <si>
    <t>TASK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</si>
  <si>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</si>
  <si>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</si>
  <si>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</si>
  <si>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</si>
  <si>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</si>
  <si>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</si>
  <si>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</si>
  <si>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</si>
  <si>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</si>
  <si>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</si>
  <si>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</si>
  <si>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Sum of Excel</t>
  </si>
  <si>
    <t>1. Calculate Total Sales for each order (Quantity × Unit_Price).</t>
  </si>
  <si>
    <t>ans</t>
  </si>
  <si>
    <t>total sale</t>
  </si>
  <si>
    <t>2. Calculate GST Amount using VLOOKUP from Product_Master.</t>
  </si>
  <si>
    <t>gst</t>
  </si>
  <si>
    <t>3. Find Final Amount payable (Total Sales + GST).</t>
  </si>
  <si>
    <t>4. Find Grand Total of Final Amount.</t>
  </si>
  <si>
    <t>grand total</t>
  </si>
  <si>
    <t>5. Count total number of orders using COUNTA.</t>
  </si>
  <si>
    <t>6. Find Region-wise total sales using SUMIF.</t>
  </si>
  <si>
    <t>7. Use IF to classify Quantity as High (&gt;3) or Low (&lt;=3).</t>
  </si>
  <si>
    <t>low</t>
  </si>
  <si>
    <t>high</t>
  </si>
  <si>
    <t>8. Find the maximum and minimum Final Amount.</t>
  </si>
  <si>
    <t>minimum</t>
  </si>
  <si>
    <t>maximum</t>
  </si>
  <si>
    <t>9. Extract month name from Sales_Date.</t>
  </si>
  <si>
    <t>Month Name</t>
  </si>
  <si>
    <t>10. Sort Sales_Data by Final Amount (Descending).</t>
  </si>
  <si>
    <t>11. Use INDEX-MATCH to fetch Product Category.</t>
  </si>
  <si>
    <t>category</t>
  </si>
  <si>
    <t>12. Calculate average marks of each student.</t>
  </si>
  <si>
    <t>avg marks</t>
  </si>
  <si>
    <t>13. Find the topper based on average marks.</t>
  </si>
  <si>
    <t>14. Count students with Attendance above 90%.</t>
  </si>
  <si>
    <t>15. Use IF to classify students as Eligible (Attendance &gt;= 85%).</t>
  </si>
  <si>
    <t>classify</t>
  </si>
  <si>
    <t>Eligible</t>
  </si>
  <si>
    <t>not elgible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</si>
  <si>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</si>
  <si>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</si>
  <si>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</si>
  <si>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</si>
  <si>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</si>
  <si>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median</t>
  </si>
  <si>
    <t>21. Find Standard Deviation of Excel marks.</t>
  </si>
  <si>
    <t>stdiv</t>
  </si>
  <si>
    <t>22.Use Concate to combine student_id and name</t>
  </si>
  <si>
    <t>concate</t>
  </si>
  <si>
    <t>Rahul-1</t>
  </si>
  <si>
    <t>Sneha-2</t>
  </si>
  <si>
    <t>Arjun-3</t>
  </si>
  <si>
    <t>Pooja-4</t>
  </si>
  <si>
    <t>Vikas-5</t>
  </si>
  <si>
    <t>23. Use LEFT function to extract first 2 letters of Salesperson name.</t>
  </si>
  <si>
    <t>left function</t>
  </si>
  <si>
    <t>Am</t>
  </si>
  <si>
    <t>Ri</t>
  </si>
  <si>
    <t>Ku</t>
  </si>
  <si>
    <t>Ne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</si>
  <si>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</si>
  <si>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</si>
  <si>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</si>
  <si>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</si>
  <si>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round</t>
  </si>
  <si>
    <t>28. Remove duplicate records if present.</t>
  </si>
  <si>
    <t>29. Freeze top row in Sales_Data sheet.</t>
  </si>
  <si>
    <t>30. Protect the Student_Marks sheet.</t>
  </si>
  <si>
    <t>Sum of Sum of total</t>
  </si>
  <si>
    <t xml:space="preserve">Review tab &amp; protect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</si>
</sst>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NumberFormat="1"/>
    <xf numFmtId="1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'Task-Qustions'!$E$22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'Task-Qustions'!$B$23:$B$27</c:f>
              <c:strCache>
                <c:ptCount val="5"/>
                <c:pt idx="0">
                  <c:v>Rahul</c:v>
                </c:pt>
                <c:pt idx="1">
                  <c:v>Sneha</c:v>
                </c:pt>
                <c:pt idx="2">
                  <c:v>Arjun</c:v>
                </c:pt>
                <c:pt idx="3">
                  <c:v>Pooja</c:v>
                </c:pt>
                <c:pt idx="4">
                  <c:v>Vikas</c:v>
                </c:pt>
              </c:strCache>
            </c:strRef>
          </c:cat>
          <c:val>
            <c:numRef>
              <c:f>'Task-Qustions'!$E$23:$E$27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059619472"/>
        <c:axId val="-1059614576"/>
      </c:barChart>
      <c:catAx>
        <c:axId val="-1059619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9614576"/>
        <c:crosses val="autoZero"/>
        <c:auto val="1"/>
        <c:lblAlgn val="ctr"/>
        <c:lblOffset val="100"/>
        <c:noMultiLvlLbl val="0"/>
      </c:catAx>
      <c:valAx>
        <c:axId val="-10596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5961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148</xdr:row>
      <xdr:rowOff>114299</xdr:rowOff>
    </xdr:from>
    <xdr:to>
      <xdr:col>5</xdr:col>
      <xdr:colOff>1028700</xdr:colOff>
      <xdr:row>159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_Excel_Practical_Exam_Medium_Level%20(1)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les_Data"/>
      <sheetName val="Product_Master"/>
      <sheetName val="Student_Marks"/>
      <sheetName val="Questions"/>
    </sheetNames>
    <sheetDataSet>
      <sheetData sheetId="0"/>
      <sheetData sheetId="1"/>
      <sheetData sheetId="2">
        <row r="2">
          <cell r="A2" t="str">
            <v>Laptop</v>
          </cell>
          <cell r="B2" t="str">
            <v>Electronics</v>
          </cell>
          <cell r="C2">
            <v>18</v>
          </cell>
        </row>
        <row r="3">
          <cell r="A3" t="str">
            <v>Mobile</v>
          </cell>
          <cell r="B3" t="str">
            <v>Electronics</v>
          </cell>
          <cell r="C3">
            <v>12</v>
          </cell>
        </row>
        <row r="4">
          <cell r="A4" t="str">
            <v>Tablet</v>
          </cell>
          <cell r="B4" t="str">
            <v>Electronics</v>
          </cell>
          <cell r="C4">
            <v>12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S_Excel_Practical_Exam_Medium_Level%20(1)%20(1)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MS_Excel_Practical_Exam_Medium_Level%20(1)%20(1)%20(1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DC66" refreshedDate="46216.531405324073" createdVersion="8" refreshedVersion="8" minRefreshableVersion="3" recordCount="6">
  <cacheSource type="worksheet">
    <worksheetSource ref="A1:I7" sheet="Sales_Data" r:id="rId2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" numFmtId="0">
      <sharedItems containsSemiMixedTypes="0" containsString="0" containsNumber="1" containsInteger="1" minValue="45000" maxValue="90000"/>
    </cacheField>
    <cacheField name="gst amount" numFmtId="0">
      <sharedItems containsSemiMixedTypes="0" containsString="0" containsNumber="1" containsInteger="1" minValue="12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LLO" refreshedDate="46217.354082638885" createdVersion="5" refreshedVersion="5" minRefreshableVersion="3" recordCount="5">
  <cacheSource type="worksheet">
    <worksheetSource ref="A1:F6" sheet="Student_Marks" r:id="rId2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dmin" refreshedDate="46226.922906250002" createdVersion="5" refreshedVersion="5" minRefreshableVersion="3" recordCount="5">
  <cacheSource type="worksheet">
    <worksheetSource ref="B131:C136" sheet="Answers"/>
  </cacheSource>
  <cacheFields count="2">
    <cacheField name="Row Labels" numFmtId="0">
      <sharedItems count="5">
        <s v="East"/>
        <s v="North"/>
        <s v="South"/>
        <s v="West"/>
        <s v="Grand Total"/>
      </sharedItems>
    </cacheField>
    <cacheField name="Sum of total" numFmtId="0">
      <sharedItems containsSemiMixedTypes="0" containsString="0" containsNumber="1" containsInteger="1" minValue="45000" maxValue="41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301"/>
    <x v="0"/>
    <s v="Amit"/>
    <x v="0"/>
    <n v="2"/>
    <n v="45000"/>
    <s v="05-01-2025"/>
    <n v="90000"/>
    <n v="18"/>
  </r>
  <r>
    <n v="302"/>
    <x v="1"/>
    <s v="Riya"/>
    <x v="1"/>
    <n v="5"/>
    <n v="15000"/>
    <s v="07-01-2025"/>
    <n v="75000"/>
    <n v="12"/>
  </r>
  <r>
    <n v="303"/>
    <x v="2"/>
    <s v="Kunal"/>
    <x v="2"/>
    <n v="3"/>
    <n v="18000"/>
    <s v="10-01-2025"/>
    <n v="54000"/>
    <n v="12"/>
  </r>
  <r>
    <n v="304"/>
    <x v="3"/>
    <s v="Neha"/>
    <x v="0"/>
    <n v="1"/>
    <n v="45000"/>
    <s v="12-01-2025"/>
    <n v="45000"/>
    <n v="18"/>
  </r>
  <r>
    <n v="305"/>
    <x v="0"/>
    <s v="Amit"/>
    <x v="1"/>
    <n v="4"/>
    <n v="15000"/>
    <s v="15-01-2025"/>
    <n v="60000"/>
    <n v="12"/>
  </r>
  <r>
    <n v="306"/>
    <x v="1"/>
    <s v="Riya"/>
    <x v="0"/>
    <n v="2"/>
    <n v="45000"/>
    <s v="18-01-2025"/>
    <n v="90000"/>
    <n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x v="0"/>
    <n v="54000"/>
  </r>
  <r>
    <x v="1"/>
    <n v="150000"/>
  </r>
  <r>
    <x v="2"/>
    <n v="165000"/>
  </r>
  <r>
    <x v="3"/>
    <n v="45000"/>
  </r>
  <r>
    <x v="4"/>
    <n v="41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0:B36" firstHeaderRow="1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B142:C14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132:F138" firstHeaderRow="1" firstDataRow="1" firstDataCol="1"/>
  <pivotFields count="2">
    <pivotField axis="axisRow" showAll="0">
      <items count="6">
        <item x="0"/>
        <item x="4"/>
        <item x="1"/>
        <item x="2"/>
        <item x="3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C206:E212" totalsRowShown="0" headerRowDxfId="3" headerRowBorderDxfId="8" tableBorderDxfId="9" totalsRowBorderDxfId="7">
  <autoFilter ref="C206:E212">
    <filterColumn colId="1">
      <filters>
        <filter val="Laptop"/>
      </filters>
    </filterColumn>
    <filterColumn colId="2">
      <filters>
        <filter val="1"/>
      </filters>
    </filterColumn>
  </autoFilter>
  <tableColumns count="3">
    <tableColumn id="1" name="Salesperson" dataDxfId="6"/>
    <tableColumn id="2" name="Product" dataDxfId="5"/>
    <tableColumn id="3" name="Quant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pane ySplit="3" topLeftCell="A4" activePane="bottomLeft" state="frozen"/>
      <selection pane="bottomLeft" activeCell="B5" sqref="B5:B7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1.7109375" bestFit="1" customWidth="1"/>
    <col min="4" max="4" width="8.85546875" bestFit="1" customWidth="1"/>
    <col min="5" max="5" width="8.7109375" bestFit="1" customWidth="1"/>
    <col min="6" max="6" width="14" bestFit="1" customWidth="1"/>
    <col min="7" max="7" width="10.7109375" bestFit="1" customWidth="1"/>
    <col min="9" max="9" width="10.85546875" bestFit="1" customWidth="1"/>
    <col min="12" max="12" width="13.140625" bestFit="1" customWidth="1"/>
    <col min="13" max="13" width="11.7109375" bestFit="1" customWidth="1"/>
  </cols>
  <sheetData>
    <row r="1" spans="1:9" x14ac:dyDescent="0.25">
      <c r="A1" s="3" t="s">
        <v>32</v>
      </c>
    </row>
    <row r="3" spans="1:9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25">
      <c r="A4" s="6">
        <v>301</v>
      </c>
      <c r="B4" s="6" t="s">
        <v>9</v>
      </c>
      <c r="C4" s="6" t="s">
        <v>10</v>
      </c>
      <c r="D4" s="6" t="s">
        <v>11</v>
      </c>
      <c r="E4" s="6">
        <v>2</v>
      </c>
      <c r="F4" s="6">
        <v>45000</v>
      </c>
      <c r="G4" s="6" t="s">
        <v>12</v>
      </c>
      <c r="H4" s="6">
        <f t="array" ref="H4:H9">E4:E9*F4:F9</f>
        <v>90000</v>
      </c>
      <c r="I4" s="6">
        <f>VLOOKUP(D4,[1]Product_Master!$A$2:$C$4,3,FALSE*H4)</f>
        <v>18</v>
      </c>
    </row>
    <row r="5" spans="1:9" x14ac:dyDescent="0.25">
      <c r="A5" s="6">
        <v>302</v>
      </c>
      <c r="B5" s="6" t="s">
        <v>15</v>
      </c>
      <c r="C5" s="6" t="s">
        <v>16</v>
      </c>
      <c r="D5" s="6" t="s">
        <v>17</v>
      </c>
      <c r="E5" s="6">
        <v>5</v>
      </c>
      <c r="F5" s="6">
        <v>15000</v>
      </c>
      <c r="G5" s="6" t="s">
        <v>18</v>
      </c>
      <c r="H5" s="6">
        <v>75000</v>
      </c>
      <c r="I5" s="6">
        <f>VLOOKUP(D5,[1]Product_Master!$A$2:$C$4,3,FALSE*H5)</f>
        <v>12</v>
      </c>
    </row>
    <row r="6" spans="1:9" x14ac:dyDescent="0.25">
      <c r="A6" s="6">
        <v>303</v>
      </c>
      <c r="B6" s="6" t="s">
        <v>19</v>
      </c>
      <c r="C6" s="6" t="s">
        <v>20</v>
      </c>
      <c r="D6" s="6" t="s">
        <v>21</v>
      </c>
      <c r="E6" s="6">
        <v>3</v>
      </c>
      <c r="F6" s="6">
        <v>18000</v>
      </c>
      <c r="G6" s="6" t="s">
        <v>22</v>
      </c>
      <c r="H6" s="6">
        <v>54000</v>
      </c>
      <c r="I6" s="6">
        <f>VLOOKUP(D6,[1]Product_Master!$A$2:$C$4,3,FALSE*H6)</f>
        <v>12</v>
      </c>
    </row>
    <row r="7" spans="1:9" x14ac:dyDescent="0.25">
      <c r="A7" s="6">
        <v>304</v>
      </c>
      <c r="B7" s="6" t="s">
        <v>23</v>
      </c>
      <c r="C7" s="6" t="s">
        <v>24</v>
      </c>
      <c r="D7" s="6" t="s">
        <v>11</v>
      </c>
      <c r="E7" s="6">
        <v>1</v>
      </c>
      <c r="F7" s="6">
        <v>45000</v>
      </c>
      <c r="G7" s="6" t="s">
        <v>25</v>
      </c>
      <c r="H7" s="6">
        <v>45000</v>
      </c>
      <c r="I7" s="6">
        <f>VLOOKUP(D7,[1]Product_Master!$A$2:$C$4,3,FALSE*H7)</f>
        <v>18</v>
      </c>
    </row>
    <row r="8" spans="1:9" x14ac:dyDescent="0.25">
      <c r="A8" s="6">
        <v>305</v>
      </c>
      <c r="B8" s="6" t="s">
        <v>9</v>
      </c>
      <c r="C8" s="6" t="s">
        <v>10</v>
      </c>
      <c r="D8" s="6" t="s">
        <v>17</v>
      </c>
      <c r="E8" s="6">
        <v>4</v>
      </c>
      <c r="F8" s="6">
        <v>15000</v>
      </c>
      <c r="G8" s="6" t="s">
        <v>26</v>
      </c>
      <c r="H8" s="6">
        <v>60000</v>
      </c>
      <c r="I8" s="6">
        <f>VLOOKUP(D8,[1]Product_Master!$A$2:$C$4,3,FALSE*H8)</f>
        <v>12</v>
      </c>
    </row>
    <row r="9" spans="1:9" x14ac:dyDescent="0.25">
      <c r="A9" s="6">
        <v>306</v>
      </c>
      <c r="B9" s="6" t="s">
        <v>15</v>
      </c>
      <c r="C9" s="6" t="s">
        <v>16</v>
      </c>
      <c r="D9" s="6" t="s">
        <v>11</v>
      </c>
      <c r="E9" s="6">
        <v>2</v>
      </c>
      <c r="F9" s="6">
        <v>45000</v>
      </c>
      <c r="G9" s="6" t="s">
        <v>28</v>
      </c>
      <c r="H9" s="6">
        <v>90000</v>
      </c>
      <c r="I9" s="6">
        <f>VLOOKUP(D9,[1]Product_Master!$A$2:$C$4,3,FALSE*H9)</f>
        <v>18</v>
      </c>
    </row>
    <row r="11" spans="1:9" x14ac:dyDescent="0.25">
      <c r="F11">
        <f>SUM(H4:H9)</f>
        <v>414000</v>
      </c>
    </row>
    <row r="13" spans="1:9" x14ac:dyDescent="0.25">
      <c r="A13" s="3" t="s">
        <v>32</v>
      </c>
    </row>
    <row r="14" spans="1:9" x14ac:dyDescent="0.25">
      <c r="A14" s="5" t="s">
        <v>3</v>
      </c>
      <c r="B14" s="5" t="s">
        <v>29</v>
      </c>
      <c r="C14" s="5" t="s">
        <v>30</v>
      </c>
      <c r="D14" s="5" t="s">
        <v>30</v>
      </c>
    </row>
    <row r="15" spans="1:9" x14ac:dyDescent="0.25">
      <c r="A15" s="6" t="s">
        <v>11</v>
      </c>
      <c r="B15" s="6" t="s">
        <v>31</v>
      </c>
      <c r="C15" s="11">
        <v>18</v>
      </c>
      <c r="D15" s="12">
        <f>C15/100</f>
        <v>0.18</v>
      </c>
    </row>
    <row r="16" spans="1:9" x14ac:dyDescent="0.25">
      <c r="A16" s="6" t="s">
        <v>17</v>
      </c>
      <c r="B16" s="6" t="s">
        <v>31</v>
      </c>
      <c r="C16" s="11">
        <v>12</v>
      </c>
      <c r="D16" s="12">
        <f t="shared" ref="D16:D17" si="0">C16/100</f>
        <v>0.12</v>
      </c>
    </row>
    <row r="17" spans="1:6" x14ac:dyDescent="0.25">
      <c r="A17" s="6" t="s">
        <v>21</v>
      </c>
      <c r="B17" s="6" t="s">
        <v>31</v>
      </c>
      <c r="C17" s="11">
        <v>12</v>
      </c>
      <c r="D17" s="12">
        <f t="shared" si="0"/>
        <v>0.12</v>
      </c>
    </row>
    <row r="19" spans="1:6" x14ac:dyDescent="0.25">
      <c r="C19">
        <f>SUM(C15:C17)</f>
        <v>42</v>
      </c>
    </row>
    <row r="21" spans="1:6" x14ac:dyDescent="0.25">
      <c r="A21" s="3" t="s">
        <v>32</v>
      </c>
    </row>
    <row r="22" spans="1:6" x14ac:dyDescent="0.25">
      <c r="A22" s="5" t="s">
        <v>33</v>
      </c>
      <c r="B22" s="5" t="s">
        <v>34</v>
      </c>
      <c r="C22" s="5" t="s">
        <v>35</v>
      </c>
      <c r="D22" s="5" t="s">
        <v>36</v>
      </c>
      <c r="E22" s="5" t="s">
        <v>37</v>
      </c>
      <c r="F22" s="5" t="s">
        <v>38</v>
      </c>
    </row>
    <row r="23" spans="1:6" x14ac:dyDescent="0.25">
      <c r="A23" s="6">
        <v>1</v>
      </c>
      <c r="B23" s="6" t="s">
        <v>39</v>
      </c>
      <c r="C23" s="6">
        <v>78</v>
      </c>
      <c r="D23" s="6">
        <v>82</v>
      </c>
      <c r="E23" s="6">
        <v>85</v>
      </c>
      <c r="F23" s="6">
        <v>92</v>
      </c>
    </row>
    <row r="24" spans="1:6" x14ac:dyDescent="0.25">
      <c r="A24" s="6">
        <v>2</v>
      </c>
      <c r="B24" s="6" t="s">
        <v>40</v>
      </c>
      <c r="C24" s="6">
        <v>88</v>
      </c>
      <c r="D24" s="6">
        <v>91</v>
      </c>
      <c r="E24" s="6">
        <v>90</v>
      </c>
      <c r="F24" s="6">
        <v>96</v>
      </c>
    </row>
    <row r="25" spans="1:6" x14ac:dyDescent="0.25">
      <c r="A25" s="6">
        <v>3</v>
      </c>
      <c r="B25" s="6" t="s">
        <v>41</v>
      </c>
      <c r="C25" s="6">
        <v>65</v>
      </c>
      <c r="D25" s="6">
        <v>70</v>
      </c>
      <c r="E25" s="6">
        <v>72</v>
      </c>
      <c r="F25" s="6">
        <v>85</v>
      </c>
    </row>
    <row r="26" spans="1:6" x14ac:dyDescent="0.25">
      <c r="A26" s="6">
        <v>4</v>
      </c>
      <c r="B26" s="6" t="s">
        <v>42</v>
      </c>
      <c r="C26" s="6">
        <v>92</v>
      </c>
      <c r="D26" s="6">
        <v>89</v>
      </c>
      <c r="E26" s="6">
        <v>94</v>
      </c>
      <c r="F26" s="6">
        <v>98</v>
      </c>
    </row>
    <row r="27" spans="1:6" x14ac:dyDescent="0.25">
      <c r="A27" s="6">
        <v>5</v>
      </c>
      <c r="B27" s="6" t="s">
        <v>43</v>
      </c>
      <c r="C27" s="6">
        <v>55</v>
      </c>
      <c r="D27" s="6">
        <v>60</v>
      </c>
      <c r="E27" s="6">
        <v>58</v>
      </c>
      <c r="F27" s="6">
        <v>80</v>
      </c>
    </row>
    <row r="30" spans="1:6" x14ac:dyDescent="0.25">
      <c r="A30" s="2" t="s">
        <v>13</v>
      </c>
      <c r="B30" t="s">
        <v>44</v>
      </c>
    </row>
    <row r="31" spans="1:6" x14ac:dyDescent="0.25">
      <c r="A31" s="1" t="s">
        <v>41</v>
      </c>
      <c r="B31">
        <v>72</v>
      </c>
    </row>
    <row r="32" spans="1:6" x14ac:dyDescent="0.25">
      <c r="A32" s="1" t="s">
        <v>42</v>
      </c>
      <c r="B32">
        <v>94</v>
      </c>
    </row>
    <row r="33" spans="1:2" x14ac:dyDescent="0.25">
      <c r="A33" s="1" t="s">
        <v>39</v>
      </c>
      <c r="B33">
        <v>85</v>
      </c>
    </row>
    <row r="34" spans="1:2" x14ac:dyDescent="0.25">
      <c r="A34" s="1" t="s">
        <v>40</v>
      </c>
      <c r="B34">
        <v>90</v>
      </c>
    </row>
    <row r="35" spans="1:2" x14ac:dyDescent="0.25">
      <c r="A35" s="1" t="s">
        <v>43</v>
      </c>
      <c r="B35">
        <v>58</v>
      </c>
    </row>
    <row r="36" spans="1:2" x14ac:dyDescent="0.25">
      <c r="A36" s="1" t="s">
        <v>27</v>
      </c>
      <c r="B36">
        <v>399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tabSelected="1" topLeftCell="A234" workbookViewId="0">
      <selection activeCell="P251" sqref="P251"/>
    </sheetView>
  </sheetViews>
  <sheetFormatPr defaultRowHeight="15" x14ac:dyDescent="0.25"/>
  <cols>
    <col min="1" max="1" width="9.140625" style="4"/>
    <col min="2" max="2" width="13.140625" customWidth="1"/>
    <col min="3" max="3" width="13.85546875" customWidth="1"/>
    <col min="4" max="4" width="12" bestFit="1" customWidth="1"/>
    <col min="5" max="5" width="13.140625" customWidth="1"/>
    <col min="6" max="6" width="18.5703125" bestFit="1" customWidth="1"/>
    <col min="7" max="7" width="14" bestFit="1" customWidth="1"/>
    <col min="8" max="8" width="10.7109375" bestFit="1" customWidth="1"/>
    <col min="9" max="9" width="12" bestFit="1" customWidth="1"/>
    <col min="10" max="10" width="7.5703125" customWidth="1"/>
    <col min="11" max="11" width="10.85546875" bestFit="1" customWidth="1"/>
    <col min="12" max="12" width="5.140625" customWidth="1"/>
  </cols>
  <sheetData>
    <row r="1" spans="1:12" x14ac:dyDescent="0.25">
      <c r="A1" s="4">
        <v>1</v>
      </c>
      <c r="B1" t="s">
        <v>45</v>
      </c>
      <c r="L1">
        <v>2</v>
      </c>
    </row>
    <row r="2" spans="1:12" x14ac:dyDescent="0.25">
      <c r="A2" s="4" t="s">
        <v>46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47</v>
      </c>
    </row>
    <row r="3" spans="1:12" x14ac:dyDescent="0.25">
      <c r="B3" s="6">
        <v>301</v>
      </c>
      <c r="C3" s="6" t="s">
        <v>9</v>
      </c>
      <c r="D3" s="6" t="s">
        <v>10</v>
      </c>
      <c r="E3" s="6" t="s">
        <v>11</v>
      </c>
      <c r="F3" s="6">
        <v>2</v>
      </c>
      <c r="G3" s="6">
        <v>45000</v>
      </c>
      <c r="H3" s="6" t="s">
        <v>12</v>
      </c>
      <c r="I3" s="6">
        <v>90000</v>
      </c>
    </row>
    <row r="4" spans="1:12" x14ac:dyDescent="0.25">
      <c r="B4" s="6">
        <v>302</v>
      </c>
      <c r="C4" s="6" t="s">
        <v>15</v>
      </c>
      <c r="D4" s="6" t="s">
        <v>16</v>
      </c>
      <c r="E4" s="6" t="s">
        <v>17</v>
      </c>
      <c r="F4" s="6">
        <v>5</v>
      </c>
      <c r="G4" s="6">
        <v>15000</v>
      </c>
      <c r="H4" s="6" t="s">
        <v>18</v>
      </c>
      <c r="I4" s="6">
        <v>75000</v>
      </c>
    </row>
    <row r="5" spans="1:12" x14ac:dyDescent="0.25">
      <c r="B5" s="6">
        <v>303</v>
      </c>
      <c r="C5" s="6" t="s">
        <v>19</v>
      </c>
      <c r="D5" s="6" t="s">
        <v>20</v>
      </c>
      <c r="E5" s="6" t="s">
        <v>21</v>
      </c>
      <c r="F5" s="6">
        <v>3</v>
      </c>
      <c r="G5" s="6">
        <v>18000</v>
      </c>
      <c r="H5" s="6" t="s">
        <v>22</v>
      </c>
      <c r="I5" s="6">
        <v>54000</v>
      </c>
    </row>
    <row r="6" spans="1:12" x14ac:dyDescent="0.25">
      <c r="B6" s="6">
        <v>304</v>
      </c>
      <c r="C6" s="6" t="s">
        <v>23</v>
      </c>
      <c r="D6" s="6" t="s">
        <v>24</v>
      </c>
      <c r="E6" s="6" t="s">
        <v>11</v>
      </c>
      <c r="F6" s="6">
        <v>1</v>
      </c>
      <c r="G6" s="6">
        <v>45000</v>
      </c>
      <c r="H6" s="6" t="s">
        <v>25</v>
      </c>
      <c r="I6" s="6">
        <v>45000</v>
      </c>
    </row>
    <row r="7" spans="1:12" x14ac:dyDescent="0.25">
      <c r="B7" s="6">
        <v>305</v>
      </c>
      <c r="C7" s="6" t="s">
        <v>9</v>
      </c>
      <c r="D7" s="6" t="s">
        <v>10</v>
      </c>
      <c r="E7" s="6" t="s">
        <v>17</v>
      </c>
      <c r="F7" s="6">
        <v>4</v>
      </c>
      <c r="G7" s="6">
        <v>15000</v>
      </c>
      <c r="H7" s="6" t="s">
        <v>26</v>
      </c>
      <c r="I7" s="6">
        <v>60000</v>
      </c>
    </row>
    <row r="8" spans="1:12" x14ac:dyDescent="0.25">
      <c r="B8" s="6">
        <v>306</v>
      </c>
      <c r="C8" s="6" t="s">
        <v>15</v>
      </c>
      <c r="D8" s="6" t="s">
        <v>16</v>
      </c>
      <c r="E8" s="6" t="s">
        <v>11</v>
      </c>
      <c r="F8" s="6">
        <v>2</v>
      </c>
      <c r="G8" s="6">
        <v>45000</v>
      </c>
      <c r="H8" s="6" t="s">
        <v>28</v>
      </c>
      <c r="I8" s="6">
        <v>90000</v>
      </c>
    </row>
    <row r="10" spans="1:12" x14ac:dyDescent="0.25">
      <c r="A10" s="4">
        <v>2</v>
      </c>
      <c r="B10" t="s">
        <v>48</v>
      </c>
      <c r="L10">
        <v>2</v>
      </c>
    </row>
    <row r="11" spans="1:12" x14ac:dyDescent="0.25">
      <c r="A11" s="4" t="s">
        <v>46</v>
      </c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  <c r="I11" s="5" t="s">
        <v>49</v>
      </c>
    </row>
    <row r="12" spans="1:12" x14ac:dyDescent="0.25">
      <c r="B12" s="6">
        <v>301</v>
      </c>
      <c r="C12" s="6" t="s">
        <v>9</v>
      </c>
      <c r="D12" s="6" t="s">
        <v>10</v>
      </c>
      <c r="E12" s="6" t="s">
        <v>11</v>
      </c>
      <c r="F12" s="6">
        <v>2</v>
      </c>
      <c r="G12" s="6">
        <v>45000</v>
      </c>
      <c r="H12" s="6" t="s">
        <v>12</v>
      </c>
      <c r="I12" s="6">
        <v>0.18</v>
      </c>
    </row>
    <row r="13" spans="1:12" x14ac:dyDescent="0.25">
      <c r="B13" s="6">
        <v>302</v>
      </c>
      <c r="C13" s="6" t="s">
        <v>15</v>
      </c>
      <c r="D13" s="6" t="s">
        <v>16</v>
      </c>
      <c r="E13" s="6" t="s">
        <v>17</v>
      </c>
      <c r="F13" s="6">
        <v>5</v>
      </c>
      <c r="G13" s="6">
        <v>15000</v>
      </c>
      <c r="H13" s="6" t="s">
        <v>18</v>
      </c>
      <c r="I13" s="6">
        <v>0.12</v>
      </c>
    </row>
    <row r="14" spans="1:12" x14ac:dyDescent="0.25">
      <c r="B14" s="6">
        <v>303</v>
      </c>
      <c r="C14" s="6" t="s">
        <v>19</v>
      </c>
      <c r="D14" s="6" t="s">
        <v>20</v>
      </c>
      <c r="E14" s="6" t="s">
        <v>21</v>
      </c>
      <c r="F14" s="6">
        <v>3</v>
      </c>
      <c r="G14" s="6">
        <v>18000</v>
      </c>
      <c r="H14" s="6" t="s">
        <v>22</v>
      </c>
      <c r="I14" s="6">
        <v>0.12</v>
      </c>
    </row>
    <row r="15" spans="1:12" x14ac:dyDescent="0.25">
      <c r="B15" s="6">
        <v>304</v>
      </c>
      <c r="C15" s="6" t="s">
        <v>23</v>
      </c>
      <c r="D15" s="6" t="s">
        <v>24</v>
      </c>
      <c r="E15" s="6" t="s">
        <v>11</v>
      </c>
      <c r="F15" s="6">
        <v>1</v>
      </c>
      <c r="G15" s="6">
        <v>45000</v>
      </c>
      <c r="H15" s="6" t="s">
        <v>25</v>
      </c>
      <c r="I15" s="6">
        <v>0.18</v>
      </c>
    </row>
    <row r="16" spans="1:12" x14ac:dyDescent="0.25">
      <c r="B16" s="6">
        <v>305</v>
      </c>
      <c r="C16" s="6" t="s">
        <v>9</v>
      </c>
      <c r="D16" s="6" t="s">
        <v>10</v>
      </c>
      <c r="E16" s="6" t="s">
        <v>17</v>
      </c>
      <c r="F16" s="6">
        <v>4</v>
      </c>
      <c r="G16" s="6">
        <v>15000</v>
      </c>
      <c r="H16" s="6" t="s">
        <v>26</v>
      </c>
      <c r="I16" s="6">
        <v>0.12</v>
      </c>
    </row>
    <row r="17" spans="1:12" x14ac:dyDescent="0.25">
      <c r="B17" s="6">
        <v>306</v>
      </c>
      <c r="C17" s="6" t="s">
        <v>15</v>
      </c>
      <c r="D17" s="6" t="s">
        <v>16</v>
      </c>
      <c r="E17" s="6" t="s">
        <v>11</v>
      </c>
      <c r="F17" s="6">
        <v>2</v>
      </c>
      <c r="G17" s="6">
        <v>45000</v>
      </c>
      <c r="H17" s="6" t="s">
        <v>28</v>
      </c>
      <c r="I17" s="6">
        <v>0.18</v>
      </c>
    </row>
    <row r="19" spans="1:12" x14ac:dyDescent="0.25">
      <c r="A19" s="4">
        <v>3</v>
      </c>
      <c r="B19" t="s">
        <v>50</v>
      </c>
      <c r="L19">
        <v>2</v>
      </c>
    </row>
    <row r="20" spans="1:12" x14ac:dyDescent="0.25">
      <c r="A20" s="4" t="s">
        <v>46</v>
      </c>
      <c r="B20" s="5" t="s">
        <v>0</v>
      </c>
      <c r="C20" s="5" t="s">
        <v>1</v>
      </c>
      <c r="D20" s="5" t="s">
        <v>2</v>
      </c>
      <c r="E20" s="5" t="s">
        <v>3</v>
      </c>
      <c r="F20" s="5" t="s">
        <v>4</v>
      </c>
      <c r="G20" s="5" t="s">
        <v>5</v>
      </c>
      <c r="H20" s="5" t="s">
        <v>6</v>
      </c>
      <c r="I20" s="5" t="s">
        <v>47</v>
      </c>
      <c r="J20" s="5" t="s">
        <v>49</v>
      </c>
      <c r="K20" s="5" t="s">
        <v>46</v>
      </c>
    </row>
    <row r="21" spans="1:12" x14ac:dyDescent="0.25">
      <c r="B21" s="6">
        <v>301</v>
      </c>
      <c r="C21" s="6" t="s">
        <v>9</v>
      </c>
      <c r="D21" s="6" t="s">
        <v>10</v>
      </c>
      <c r="E21" s="6" t="s">
        <v>11</v>
      </c>
      <c r="F21" s="6">
        <v>2</v>
      </c>
      <c r="G21" s="6">
        <v>45000</v>
      </c>
      <c r="H21" s="6" t="s">
        <v>12</v>
      </c>
      <c r="I21" s="6">
        <v>90000</v>
      </c>
      <c r="J21" s="6">
        <v>0.18</v>
      </c>
      <c r="K21" s="6">
        <f>I21*J21</f>
        <v>16200</v>
      </c>
    </row>
    <row r="22" spans="1:12" x14ac:dyDescent="0.25">
      <c r="B22" s="6">
        <v>302</v>
      </c>
      <c r="C22" s="6" t="s">
        <v>15</v>
      </c>
      <c r="D22" s="6" t="s">
        <v>16</v>
      </c>
      <c r="E22" s="6" t="s">
        <v>17</v>
      </c>
      <c r="F22" s="6">
        <v>5</v>
      </c>
      <c r="G22" s="6">
        <v>15000</v>
      </c>
      <c r="H22" s="6" t="s">
        <v>18</v>
      </c>
      <c r="I22" s="6">
        <v>75000</v>
      </c>
      <c r="J22" s="6">
        <v>0.12</v>
      </c>
      <c r="K22" s="6">
        <f t="shared" ref="K22:K26" si="0">I22*J22</f>
        <v>9000</v>
      </c>
    </row>
    <row r="23" spans="1:12" x14ac:dyDescent="0.25">
      <c r="B23" s="6">
        <v>303</v>
      </c>
      <c r="C23" s="6" t="s">
        <v>19</v>
      </c>
      <c r="D23" s="6" t="s">
        <v>20</v>
      </c>
      <c r="E23" s="6" t="s">
        <v>21</v>
      </c>
      <c r="F23" s="6">
        <v>3</v>
      </c>
      <c r="G23" s="6">
        <v>18000</v>
      </c>
      <c r="H23" s="6" t="s">
        <v>22</v>
      </c>
      <c r="I23" s="6">
        <v>54000</v>
      </c>
      <c r="J23" s="6">
        <v>0.12</v>
      </c>
      <c r="K23" s="6">
        <f t="shared" si="0"/>
        <v>6480</v>
      </c>
    </row>
    <row r="24" spans="1:12" x14ac:dyDescent="0.25">
      <c r="B24" s="6">
        <v>304</v>
      </c>
      <c r="C24" s="6" t="s">
        <v>23</v>
      </c>
      <c r="D24" s="6" t="s">
        <v>24</v>
      </c>
      <c r="E24" s="6" t="s">
        <v>11</v>
      </c>
      <c r="F24" s="6">
        <v>1</v>
      </c>
      <c r="G24" s="6">
        <v>45000</v>
      </c>
      <c r="H24" s="6" t="s">
        <v>25</v>
      </c>
      <c r="I24" s="6">
        <v>45000</v>
      </c>
      <c r="J24" s="6">
        <v>0.18</v>
      </c>
      <c r="K24" s="6">
        <f t="shared" si="0"/>
        <v>8100</v>
      </c>
    </row>
    <row r="25" spans="1:12" x14ac:dyDescent="0.25">
      <c r="B25" s="6">
        <v>305</v>
      </c>
      <c r="C25" s="6" t="s">
        <v>9</v>
      </c>
      <c r="D25" s="6" t="s">
        <v>10</v>
      </c>
      <c r="E25" s="6" t="s">
        <v>17</v>
      </c>
      <c r="F25" s="6">
        <v>4</v>
      </c>
      <c r="G25" s="6">
        <v>15000</v>
      </c>
      <c r="H25" s="6" t="s">
        <v>26</v>
      </c>
      <c r="I25" s="6">
        <v>60000</v>
      </c>
      <c r="J25" s="6">
        <v>0.12</v>
      </c>
      <c r="K25" s="6">
        <f t="shared" si="0"/>
        <v>7200</v>
      </c>
    </row>
    <row r="26" spans="1:12" x14ac:dyDescent="0.25">
      <c r="B26" s="6">
        <v>306</v>
      </c>
      <c r="C26" s="6" t="s">
        <v>15</v>
      </c>
      <c r="D26" s="6" t="s">
        <v>16</v>
      </c>
      <c r="E26" s="6" t="s">
        <v>11</v>
      </c>
      <c r="F26" s="6">
        <v>2</v>
      </c>
      <c r="G26" s="6">
        <v>45000</v>
      </c>
      <c r="H26" s="6" t="s">
        <v>28</v>
      </c>
      <c r="I26" s="6">
        <v>90000</v>
      </c>
      <c r="J26" s="6">
        <v>0.18</v>
      </c>
      <c r="K26" s="6">
        <f t="shared" si="0"/>
        <v>16200</v>
      </c>
    </row>
    <row r="28" spans="1:12" x14ac:dyDescent="0.25">
      <c r="A28" s="4">
        <v>4</v>
      </c>
      <c r="B28" t="s">
        <v>51</v>
      </c>
      <c r="L28">
        <v>2</v>
      </c>
    </row>
    <row r="29" spans="1:12" x14ac:dyDescent="0.25">
      <c r="A29" s="4" t="s">
        <v>46</v>
      </c>
      <c r="B29" s="5" t="s">
        <v>47</v>
      </c>
      <c r="C29" s="5" t="s">
        <v>52</v>
      </c>
    </row>
    <row r="30" spans="1:12" x14ac:dyDescent="0.25">
      <c r="B30" s="6">
        <v>90000</v>
      </c>
      <c r="C30" s="6">
        <v>414000</v>
      </c>
    </row>
    <row r="31" spans="1:12" x14ac:dyDescent="0.25">
      <c r="B31" s="6">
        <v>75000</v>
      </c>
      <c r="C31" s="6"/>
    </row>
    <row r="32" spans="1:12" x14ac:dyDescent="0.25">
      <c r="B32" s="6">
        <v>54000</v>
      </c>
      <c r="C32" s="6"/>
    </row>
    <row r="33" spans="1:12" x14ac:dyDescent="0.25">
      <c r="B33" s="6">
        <v>45000</v>
      </c>
      <c r="C33" s="6"/>
    </row>
    <row r="34" spans="1:12" x14ac:dyDescent="0.25">
      <c r="B34" s="6">
        <v>60000</v>
      </c>
      <c r="C34" s="6"/>
    </row>
    <row r="35" spans="1:12" x14ac:dyDescent="0.25">
      <c r="B35" s="6">
        <v>90000</v>
      </c>
      <c r="C35" s="6"/>
    </row>
    <row r="37" spans="1:12" x14ac:dyDescent="0.25">
      <c r="A37" s="4">
        <v>5</v>
      </c>
      <c r="B37" t="s">
        <v>53</v>
      </c>
      <c r="L37">
        <v>2</v>
      </c>
    </row>
    <row r="38" spans="1:12" x14ac:dyDescent="0.25">
      <c r="A38" s="4" t="s">
        <v>46</v>
      </c>
      <c r="B38" s="5" t="s">
        <v>0</v>
      </c>
      <c r="C38" s="5" t="s">
        <v>46</v>
      </c>
    </row>
    <row r="39" spans="1:12" x14ac:dyDescent="0.25">
      <c r="B39" s="6">
        <v>301</v>
      </c>
      <c r="C39" s="6">
        <f>COUNTA(B39:B44)</f>
        <v>6</v>
      </c>
    </row>
    <row r="40" spans="1:12" x14ac:dyDescent="0.25">
      <c r="B40" s="6">
        <v>302</v>
      </c>
      <c r="C40" s="6"/>
    </row>
    <row r="41" spans="1:12" x14ac:dyDescent="0.25">
      <c r="B41" s="6">
        <v>303</v>
      </c>
      <c r="C41" s="6"/>
    </row>
    <row r="42" spans="1:12" x14ac:dyDescent="0.25">
      <c r="B42" s="6">
        <v>304</v>
      </c>
      <c r="C42" s="6"/>
    </row>
    <row r="43" spans="1:12" x14ac:dyDescent="0.25">
      <c r="B43" s="6">
        <v>305</v>
      </c>
      <c r="C43" s="6"/>
    </row>
    <row r="44" spans="1:12" x14ac:dyDescent="0.25">
      <c r="B44" s="6">
        <v>306</v>
      </c>
      <c r="C44" s="6"/>
    </row>
    <row r="46" spans="1:12" x14ac:dyDescent="0.25">
      <c r="A46" s="4">
        <v>6</v>
      </c>
      <c r="B46" t="s">
        <v>54</v>
      </c>
      <c r="L46">
        <v>2</v>
      </c>
    </row>
    <row r="47" spans="1:12" x14ac:dyDescent="0.25">
      <c r="A47" s="4" t="s">
        <v>46</v>
      </c>
      <c r="B47" s="5" t="s">
        <v>9</v>
      </c>
      <c r="C47" s="5">
        <f>SUMIF('Task-Qustions'!B4:B9,Answers!B47,'Task-Qustions'!H4:H9)</f>
        <v>150000</v>
      </c>
    </row>
    <row r="48" spans="1:12" x14ac:dyDescent="0.25">
      <c r="B48" s="5" t="s">
        <v>15</v>
      </c>
      <c r="C48" s="5">
        <f>SUMIF('Task-Qustions'!B5:B10,Answers!B48,'Task-Qustions'!H5:H10)</f>
        <v>165000</v>
      </c>
      <c r="F48" s="22"/>
    </row>
    <row r="49" spans="1:12" x14ac:dyDescent="0.25">
      <c r="B49" s="5" t="s">
        <v>19</v>
      </c>
      <c r="C49" s="5">
        <f>SUMIF('Task-Qustions'!B6:B11,Answers!B49,'Task-Qustions'!H6:H11)</f>
        <v>54000</v>
      </c>
      <c r="F49" s="22"/>
    </row>
    <row r="50" spans="1:12" x14ac:dyDescent="0.25">
      <c r="B50" s="5" t="s">
        <v>23</v>
      </c>
      <c r="C50" s="5">
        <f>SUMIF('Task-Qustions'!B7:B12,Answers!B50,'Task-Qustions'!H7:H12)</f>
        <v>45000</v>
      </c>
      <c r="F50" s="22"/>
    </row>
    <row r="52" spans="1:12" x14ac:dyDescent="0.25">
      <c r="A52" s="4">
        <v>7</v>
      </c>
      <c r="B52" t="s">
        <v>55</v>
      </c>
      <c r="L52">
        <v>2</v>
      </c>
    </row>
    <row r="53" spans="1:12" x14ac:dyDescent="0.25">
      <c r="A53" s="4" t="s">
        <v>46</v>
      </c>
      <c r="B53" s="5" t="s">
        <v>3</v>
      </c>
      <c r="C53" s="5" t="s">
        <v>4</v>
      </c>
      <c r="D53" s="5" t="s">
        <v>46</v>
      </c>
    </row>
    <row r="54" spans="1:12" x14ac:dyDescent="0.25">
      <c r="B54" s="6" t="s">
        <v>11</v>
      </c>
      <c r="C54" s="6">
        <v>2</v>
      </c>
      <c r="D54" s="6" t="s">
        <v>56</v>
      </c>
    </row>
    <row r="55" spans="1:12" x14ac:dyDescent="0.25">
      <c r="B55" s="6" t="s">
        <v>17</v>
      </c>
      <c r="C55" s="6">
        <v>5</v>
      </c>
      <c r="D55" s="6" t="s">
        <v>57</v>
      </c>
    </row>
    <row r="56" spans="1:12" x14ac:dyDescent="0.25">
      <c r="B56" s="6" t="s">
        <v>21</v>
      </c>
      <c r="C56" s="6">
        <v>3</v>
      </c>
      <c r="D56" s="6" t="s">
        <v>56</v>
      </c>
    </row>
    <row r="57" spans="1:12" x14ac:dyDescent="0.25">
      <c r="B57" s="6" t="s">
        <v>11</v>
      </c>
      <c r="C57" s="6">
        <v>1</v>
      </c>
      <c r="D57" s="6" t="s">
        <v>56</v>
      </c>
    </row>
    <row r="58" spans="1:12" x14ac:dyDescent="0.25">
      <c r="B58" s="6" t="s">
        <v>17</v>
      </c>
      <c r="C58" s="6">
        <v>4</v>
      </c>
      <c r="D58" s="6" t="s">
        <v>57</v>
      </c>
    </row>
    <row r="59" spans="1:12" x14ac:dyDescent="0.25">
      <c r="B59" s="6" t="s">
        <v>11</v>
      </c>
      <c r="C59" s="6">
        <v>2</v>
      </c>
      <c r="D59" s="6" t="s">
        <v>56</v>
      </c>
    </row>
    <row r="61" spans="1:12" x14ac:dyDescent="0.25">
      <c r="A61" s="4">
        <v>8</v>
      </c>
      <c r="B61" t="s">
        <v>58</v>
      </c>
      <c r="L61">
        <v>2</v>
      </c>
    </row>
    <row r="62" spans="1:12" x14ac:dyDescent="0.25">
      <c r="A62" s="4" t="s">
        <v>46</v>
      </c>
      <c r="B62" s="5" t="s">
        <v>59</v>
      </c>
      <c r="C62" s="6">
        <v>45000</v>
      </c>
    </row>
    <row r="63" spans="1:12" x14ac:dyDescent="0.25">
      <c r="B63" s="5" t="s">
        <v>60</v>
      </c>
      <c r="C63" s="6">
        <v>90000</v>
      </c>
    </row>
    <row r="65" spans="1:12" x14ac:dyDescent="0.25">
      <c r="A65" s="4">
        <v>9</v>
      </c>
      <c r="B65" t="s">
        <v>61</v>
      </c>
      <c r="L65">
        <v>2</v>
      </c>
    </row>
    <row r="66" spans="1:12" x14ac:dyDescent="0.25">
      <c r="A66" s="4" t="s">
        <v>46</v>
      </c>
      <c r="B66" s="5" t="s">
        <v>6</v>
      </c>
      <c r="C66" s="5" t="s">
        <v>62</v>
      </c>
    </row>
    <row r="67" spans="1:12" x14ac:dyDescent="0.25">
      <c r="B67" s="6" t="s">
        <v>12</v>
      </c>
      <c r="C67" s="6" t="str">
        <f>TEXT(B67,"mmmm")</f>
        <v>January</v>
      </c>
    </row>
    <row r="68" spans="1:12" x14ac:dyDescent="0.25">
      <c r="B68" s="6" t="s">
        <v>18</v>
      </c>
      <c r="C68" s="6" t="str">
        <f t="shared" ref="C68:C72" si="1">TEXT(B68,"mmmm")</f>
        <v>January</v>
      </c>
    </row>
    <row r="69" spans="1:12" x14ac:dyDescent="0.25">
      <c r="B69" s="6" t="s">
        <v>22</v>
      </c>
      <c r="C69" s="6" t="str">
        <f t="shared" si="1"/>
        <v>January</v>
      </c>
    </row>
    <row r="70" spans="1:12" x14ac:dyDescent="0.25">
      <c r="B70" s="6" t="s">
        <v>25</v>
      </c>
      <c r="C70" s="6" t="str">
        <f t="shared" si="1"/>
        <v>January</v>
      </c>
    </row>
    <row r="71" spans="1:12" x14ac:dyDescent="0.25">
      <c r="B71" s="6" t="s">
        <v>26</v>
      </c>
      <c r="C71" s="6" t="str">
        <f t="shared" si="1"/>
        <v>January</v>
      </c>
    </row>
    <row r="72" spans="1:12" x14ac:dyDescent="0.25">
      <c r="B72" s="6" t="s">
        <v>28</v>
      </c>
      <c r="C72" s="6" t="str">
        <f t="shared" si="1"/>
        <v>January</v>
      </c>
    </row>
    <row r="74" spans="1:12" x14ac:dyDescent="0.25">
      <c r="A74" s="4">
        <v>10</v>
      </c>
      <c r="B74" t="s">
        <v>63</v>
      </c>
      <c r="L74">
        <v>2</v>
      </c>
    </row>
    <row r="75" spans="1:12" x14ac:dyDescent="0.25">
      <c r="A75" s="4" t="s">
        <v>46</v>
      </c>
      <c r="C75" s="5" t="s">
        <v>0</v>
      </c>
      <c r="D75" s="5" t="s">
        <v>1</v>
      </c>
      <c r="E75" s="5" t="s">
        <v>2</v>
      </c>
      <c r="F75" s="5" t="s">
        <v>3</v>
      </c>
      <c r="G75" s="5" t="s">
        <v>4</v>
      </c>
      <c r="H75" s="5" t="s">
        <v>5</v>
      </c>
      <c r="I75" s="5" t="s">
        <v>6</v>
      </c>
      <c r="J75" s="5" t="s">
        <v>7</v>
      </c>
      <c r="K75" s="5" t="s">
        <v>8</v>
      </c>
    </row>
    <row r="76" spans="1:12" x14ac:dyDescent="0.25">
      <c r="C76" s="6">
        <v>301</v>
      </c>
      <c r="D76" s="6" t="s">
        <v>9</v>
      </c>
      <c r="E76" s="6" t="s">
        <v>10</v>
      </c>
      <c r="F76" s="6" t="s">
        <v>11</v>
      </c>
      <c r="G76" s="6">
        <v>2</v>
      </c>
      <c r="H76" s="6">
        <v>45000</v>
      </c>
      <c r="I76" s="6" t="s">
        <v>12</v>
      </c>
      <c r="J76" s="5">
        <v>90000</v>
      </c>
      <c r="K76" s="6">
        <v>18</v>
      </c>
    </row>
    <row r="77" spans="1:12" x14ac:dyDescent="0.25">
      <c r="C77" s="6">
        <v>306</v>
      </c>
      <c r="D77" s="6" t="s">
        <v>15</v>
      </c>
      <c r="E77" s="6" t="s">
        <v>16</v>
      </c>
      <c r="F77" s="6" t="s">
        <v>11</v>
      </c>
      <c r="G77" s="6">
        <v>2</v>
      </c>
      <c r="H77" s="6">
        <v>45000</v>
      </c>
      <c r="I77" s="6" t="s">
        <v>28</v>
      </c>
      <c r="J77" s="5">
        <v>90000</v>
      </c>
      <c r="K77" s="6">
        <v>18</v>
      </c>
    </row>
    <row r="78" spans="1:12" x14ac:dyDescent="0.25">
      <c r="C78" s="6">
        <v>302</v>
      </c>
      <c r="D78" s="6" t="s">
        <v>15</v>
      </c>
      <c r="E78" s="6" t="s">
        <v>16</v>
      </c>
      <c r="F78" s="6" t="s">
        <v>17</v>
      </c>
      <c r="G78" s="6">
        <v>5</v>
      </c>
      <c r="H78" s="6">
        <v>15000</v>
      </c>
      <c r="I78" s="6" t="s">
        <v>18</v>
      </c>
      <c r="J78" s="5">
        <v>75000</v>
      </c>
      <c r="K78" s="6">
        <v>12</v>
      </c>
    </row>
    <row r="79" spans="1:12" x14ac:dyDescent="0.25">
      <c r="C79" s="6">
        <v>305</v>
      </c>
      <c r="D79" s="6" t="s">
        <v>9</v>
      </c>
      <c r="E79" s="6" t="s">
        <v>10</v>
      </c>
      <c r="F79" s="6" t="s">
        <v>17</v>
      </c>
      <c r="G79" s="6">
        <v>4</v>
      </c>
      <c r="H79" s="6">
        <v>15000</v>
      </c>
      <c r="I79" s="6" t="s">
        <v>26</v>
      </c>
      <c r="J79" s="5">
        <v>60000</v>
      </c>
      <c r="K79" s="6">
        <v>12</v>
      </c>
    </row>
    <row r="80" spans="1:12" x14ac:dyDescent="0.25">
      <c r="C80" s="6">
        <v>303</v>
      </c>
      <c r="D80" s="6" t="s">
        <v>19</v>
      </c>
      <c r="E80" s="6" t="s">
        <v>20</v>
      </c>
      <c r="F80" s="6" t="s">
        <v>21</v>
      </c>
      <c r="G80" s="6">
        <v>3</v>
      </c>
      <c r="H80" s="6">
        <v>18000</v>
      </c>
      <c r="I80" s="6" t="s">
        <v>22</v>
      </c>
      <c r="J80" s="5">
        <v>54000</v>
      </c>
      <c r="K80" s="6">
        <v>12</v>
      </c>
    </row>
    <row r="81" spans="1:12" x14ac:dyDescent="0.25">
      <c r="C81" s="6">
        <v>304</v>
      </c>
      <c r="D81" s="6" t="s">
        <v>23</v>
      </c>
      <c r="E81" s="6" t="s">
        <v>24</v>
      </c>
      <c r="F81" s="6" t="s">
        <v>11</v>
      </c>
      <c r="G81" s="6">
        <v>1</v>
      </c>
      <c r="H81" s="6">
        <v>45000</v>
      </c>
      <c r="I81" s="6" t="s">
        <v>25</v>
      </c>
      <c r="J81" s="5">
        <v>45000</v>
      </c>
      <c r="K81" s="6">
        <v>18</v>
      </c>
    </row>
    <row r="83" spans="1:12" x14ac:dyDescent="0.25">
      <c r="A83" s="4">
        <v>11</v>
      </c>
      <c r="B83" t="s">
        <v>64</v>
      </c>
      <c r="L83">
        <v>2</v>
      </c>
    </row>
    <row r="84" spans="1:12" x14ac:dyDescent="0.25">
      <c r="A84" s="4" t="s">
        <v>46</v>
      </c>
      <c r="C84" s="5" t="s">
        <v>3</v>
      </c>
      <c r="D84" s="5" t="s">
        <v>65</v>
      </c>
    </row>
    <row r="85" spans="1:12" x14ac:dyDescent="0.25">
      <c r="C85" s="6" t="s">
        <v>11</v>
      </c>
      <c r="D85" s="6" t="str">
        <f>INDEX('Task-Qustions'!B14:B17,MATCH(Answers!C85,'Task-Qustions'!A14:A17,0))</f>
        <v>Electronics</v>
      </c>
    </row>
    <row r="86" spans="1:12" x14ac:dyDescent="0.25">
      <c r="C86" s="6" t="s">
        <v>17</v>
      </c>
      <c r="D86" s="6" t="str">
        <f>INDEX('Task-Qustions'!B15:B18,MATCH(Answers!C86,'Task-Qustions'!A15:A18,0))</f>
        <v>Electronics</v>
      </c>
    </row>
    <row r="87" spans="1:12" x14ac:dyDescent="0.25">
      <c r="C87" s="6" t="s">
        <v>21</v>
      </c>
      <c r="D87" s="6" t="str">
        <f>INDEX('Task-Qustions'!B16:B19,MATCH(Answers!C87,'Task-Qustions'!A16:A19,0))</f>
        <v>Electronics</v>
      </c>
    </row>
    <row r="89" spans="1:12" x14ac:dyDescent="0.25">
      <c r="A89" s="4">
        <v>12</v>
      </c>
      <c r="B89" t="s">
        <v>66</v>
      </c>
      <c r="L89">
        <v>2</v>
      </c>
    </row>
    <row r="90" spans="1:12" x14ac:dyDescent="0.25">
      <c r="A90" s="4" t="s">
        <v>46</v>
      </c>
      <c r="C90" s="5" t="s">
        <v>34</v>
      </c>
      <c r="D90" s="5" t="s">
        <v>35</v>
      </c>
      <c r="E90" s="5" t="s">
        <v>36</v>
      </c>
      <c r="F90" s="5" t="s">
        <v>37</v>
      </c>
      <c r="G90" s="5" t="s">
        <v>67</v>
      </c>
    </row>
    <row r="91" spans="1:12" x14ac:dyDescent="0.25">
      <c r="C91" s="6" t="s">
        <v>39</v>
      </c>
      <c r="D91" s="6">
        <v>78</v>
      </c>
      <c r="E91" s="6">
        <v>82</v>
      </c>
      <c r="F91" s="6">
        <v>85</v>
      </c>
      <c r="G91" s="7">
        <v>81.6666666666667</v>
      </c>
    </row>
    <row r="92" spans="1:12" x14ac:dyDescent="0.25">
      <c r="C92" s="6" t="s">
        <v>40</v>
      </c>
      <c r="D92" s="6">
        <v>88</v>
      </c>
      <c r="E92" s="6">
        <v>91</v>
      </c>
      <c r="F92" s="6">
        <v>90</v>
      </c>
      <c r="G92" s="7">
        <v>89.666666666666671</v>
      </c>
    </row>
    <row r="93" spans="1:12" x14ac:dyDescent="0.25">
      <c r="C93" s="6" t="s">
        <v>41</v>
      </c>
      <c r="D93" s="6">
        <v>65</v>
      </c>
      <c r="E93" s="6">
        <v>70</v>
      </c>
      <c r="F93" s="6">
        <v>72</v>
      </c>
      <c r="G93" s="7">
        <v>69</v>
      </c>
    </row>
    <row r="94" spans="1:12" x14ac:dyDescent="0.25">
      <c r="C94" s="6" t="s">
        <v>42</v>
      </c>
      <c r="D94" s="6">
        <v>92</v>
      </c>
      <c r="E94" s="6">
        <v>89</v>
      </c>
      <c r="F94" s="6">
        <v>94</v>
      </c>
      <c r="G94" s="7">
        <v>91.666666666666671</v>
      </c>
    </row>
    <row r="95" spans="1:12" x14ac:dyDescent="0.25">
      <c r="C95" s="6" t="s">
        <v>43</v>
      </c>
      <c r="D95" s="6">
        <v>55</v>
      </c>
      <c r="E95" s="6">
        <v>60</v>
      </c>
      <c r="F95" s="6">
        <v>58</v>
      </c>
      <c r="G95" s="7">
        <v>57.666666666666664</v>
      </c>
    </row>
    <row r="97" spans="1:12" x14ac:dyDescent="0.25">
      <c r="A97" s="4">
        <v>13</v>
      </c>
      <c r="B97" t="s">
        <v>68</v>
      </c>
      <c r="L97">
        <v>2</v>
      </c>
    </row>
    <row r="98" spans="1:12" x14ac:dyDescent="0.25">
      <c r="A98" s="4" t="s">
        <v>46</v>
      </c>
      <c r="C98" s="5" t="s">
        <v>34</v>
      </c>
      <c r="D98" s="5" t="s">
        <v>35</v>
      </c>
      <c r="E98" s="5" t="s">
        <v>36</v>
      </c>
      <c r="F98" s="5" t="s">
        <v>37</v>
      </c>
      <c r="G98" s="5" t="s">
        <v>67</v>
      </c>
    </row>
    <row r="99" spans="1:12" x14ac:dyDescent="0.25">
      <c r="C99" s="6" t="s">
        <v>39</v>
      </c>
      <c r="D99" s="6">
        <v>78</v>
      </c>
      <c r="E99" s="6">
        <v>82</v>
      </c>
      <c r="F99" s="6">
        <v>85</v>
      </c>
      <c r="G99" s="7">
        <v>81.666666666666671</v>
      </c>
    </row>
    <row r="100" spans="1:12" x14ac:dyDescent="0.25">
      <c r="C100" s="6" t="s">
        <v>40</v>
      </c>
      <c r="D100" s="6">
        <v>88</v>
      </c>
      <c r="E100" s="6">
        <v>91</v>
      </c>
      <c r="F100" s="6">
        <v>90</v>
      </c>
      <c r="G100" s="7">
        <v>89.666666666666671</v>
      </c>
    </row>
    <row r="101" spans="1:12" x14ac:dyDescent="0.25">
      <c r="C101" s="6" t="s">
        <v>41</v>
      </c>
      <c r="D101" s="6">
        <v>65</v>
      </c>
      <c r="E101" s="6">
        <v>70</v>
      </c>
      <c r="F101" s="6">
        <v>72</v>
      </c>
      <c r="G101" s="7">
        <v>69</v>
      </c>
    </row>
    <row r="102" spans="1:12" x14ac:dyDescent="0.25">
      <c r="C102" s="6" t="s">
        <v>42</v>
      </c>
      <c r="D102" s="6">
        <v>92</v>
      </c>
      <c r="E102" s="6">
        <v>89</v>
      </c>
      <c r="F102" s="6">
        <v>94</v>
      </c>
      <c r="G102" s="7">
        <v>91.666666666666671</v>
      </c>
    </row>
    <row r="103" spans="1:12" x14ac:dyDescent="0.25">
      <c r="C103" s="6" t="s">
        <v>43</v>
      </c>
      <c r="D103" s="6">
        <v>55</v>
      </c>
      <c r="E103" s="6">
        <v>60</v>
      </c>
      <c r="F103" s="6">
        <v>58</v>
      </c>
      <c r="G103" s="7">
        <v>57.666666666666664</v>
      </c>
    </row>
    <row r="105" spans="1:12" x14ac:dyDescent="0.25">
      <c r="A105" s="4">
        <v>14</v>
      </c>
      <c r="B105" t="s">
        <v>69</v>
      </c>
      <c r="L105">
        <v>2</v>
      </c>
    </row>
    <row r="106" spans="1:12" x14ac:dyDescent="0.25">
      <c r="A106" s="4" t="s">
        <v>46</v>
      </c>
    </row>
    <row r="107" spans="1:12" x14ac:dyDescent="0.25">
      <c r="B107" s="5" t="s">
        <v>33</v>
      </c>
      <c r="C107" s="5" t="s">
        <v>34</v>
      </c>
      <c r="D107" s="5" t="s">
        <v>35</v>
      </c>
      <c r="E107" s="5" t="s">
        <v>36</v>
      </c>
      <c r="F107" s="5" t="s">
        <v>37</v>
      </c>
      <c r="G107" s="5" t="s">
        <v>38</v>
      </c>
      <c r="H107" s="8" t="s">
        <v>46</v>
      </c>
    </row>
    <row r="108" spans="1:12" x14ac:dyDescent="0.25">
      <c r="B108" s="6">
        <v>1</v>
      </c>
      <c r="C108" s="6" t="s">
        <v>39</v>
      </c>
      <c r="D108" s="6">
        <v>78</v>
      </c>
      <c r="E108" s="6">
        <v>82</v>
      </c>
      <c r="F108" s="6">
        <v>85</v>
      </c>
      <c r="G108" s="6">
        <v>92</v>
      </c>
      <c r="H108" s="9">
        <f>COUNTIF(G108:G112,"&gt;90")</f>
        <v>3</v>
      </c>
    </row>
    <row r="109" spans="1:12" x14ac:dyDescent="0.25">
      <c r="B109" s="6">
        <v>2</v>
      </c>
      <c r="C109" s="6" t="s">
        <v>40</v>
      </c>
      <c r="D109" s="6">
        <v>88</v>
      </c>
      <c r="E109" s="6">
        <v>91</v>
      </c>
      <c r="F109" s="6">
        <v>90</v>
      </c>
      <c r="G109" s="6">
        <v>96</v>
      </c>
    </row>
    <row r="110" spans="1:12" x14ac:dyDescent="0.25">
      <c r="B110" s="6">
        <v>3</v>
      </c>
      <c r="C110" s="6" t="s">
        <v>41</v>
      </c>
      <c r="D110" s="6">
        <v>65</v>
      </c>
      <c r="E110" s="6">
        <v>70</v>
      </c>
      <c r="F110" s="6">
        <v>72</v>
      </c>
      <c r="G110" s="6">
        <v>85</v>
      </c>
    </row>
    <row r="111" spans="1:12" x14ac:dyDescent="0.25">
      <c r="B111" s="6">
        <v>4</v>
      </c>
      <c r="C111" s="6" t="s">
        <v>42</v>
      </c>
      <c r="D111" s="6">
        <v>92</v>
      </c>
      <c r="E111" s="6">
        <v>89</v>
      </c>
      <c r="F111" s="6">
        <v>94</v>
      </c>
      <c r="G111" s="6">
        <v>98</v>
      </c>
    </row>
    <row r="112" spans="1:12" x14ac:dyDescent="0.25">
      <c r="B112" s="6">
        <v>5</v>
      </c>
      <c r="C112" s="6" t="s">
        <v>43</v>
      </c>
      <c r="D112" s="6">
        <v>55</v>
      </c>
      <c r="E112" s="6">
        <v>60</v>
      </c>
      <c r="F112" s="6">
        <v>58</v>
      </c>
      <c r="G112" s="6">
        <v>80</v>
      </c>
    </row>
    <row r="114" spans="1:12" x14ac:dyDescent="0.25">
      <c r="A114" s="4">
        <v>15</v>
      </c>
      <c r="B114" t="s">
        <v>70</v>
      </c>
      <c r="L114">
        <v>2</v>
      </c>
    </row>
    <row r="115" spans="1:12" x14ac:dyDescent="0.25">
      <c r="A115" s="4" t="s">
        <v>46</v>
      </c>
    </row>
    <row r="116" spans="1:12" x14ac:dyDescent="0.25">
      <c r="B116" s="5" t="s">
        <v>33</v>
      </c>
      <c r="C116" s="5" t="s">
        <v>34</v>
      </c>
      <c r="D116" s="5" t="s">
        <v>35</v>
      </c>
      <c r="E116" s="5" t="s">
        <v>36</v>
      </c>
      <c r="F116" s="5" t="s">
        <v>37</v>
      </c>
      <c r="G116" s="5" t="s">
        <v>38</v>
      </c>
      <c r="H116" s="5" t="s">
        <v>71</v>
      </c>
    </row>
    <row r="117" spans="1:12" x14ac:dyDescent="0.25">
      <c r="B117" s="6">
        <v>1</v>
      </c>
      <c r="C117" s="6" t="s">
        <v>39</v>
      </c>
      <c r="D117" s="6">
        <v>78</v>
      </c>
      <c r="E117" s="6">
        <v>82</v>
      </c>
      <c r="F117" s="6">
        <v>85</v>
      </c>
      <c r="G117" s="6">
        <v>92</v>
      </c>
      <c r="H117" s="6" t="s">
        <v>72</v>
      </c>
    </row>
    <row r="118" spans="1:12" x14ac:dyDescent="0.25">
      <c r="B118" s="6">
        <v>2</v>
      </c>
      <c r="C118" s="6" t="s">
        <v>40</v>
      </c>
      <c r="D118" s="6">
        <v>88</v>
      </c>
      <c r="E118" s="6">
        <v>91</v>
      </c>
      <c r="F118" s="6">
        <v>90</v>
      </c>
      <c r="G118" s="6">
        <v>96</v>
      </c>
      <c r="H118" s="6" t="s">
        <v>72</v>
      </c>
    </row>
    <row r="119" spans="1:12" x14ac:dyDescent="0.25">
      <c r="B119" s="6">
        <v>3</v>
      </c>
      <c r="C119" s="6" t="s">
        <v>41</v>
      </c>
      <c r="D119" s="6">
        <v>65</v>
      </c>
      <c r="E119" s="6">
        <v>70</v>
      </c>
      <c r="F119" s="6">
        <v>72</v>
      </c>
      <c r="G119" s="6">
        <v>85</v>
      </c>
      <c r="H119" s="6" t="s">
        <v>72</v>
      </c>
    </row>
    <row r="120" spans="1:12" x14ac:dyDescent="0.25">
      <c r="B120" s="6">
        <v>4</v>
      </c>
      <c r="C120" s="6" t="s">
        <v>42</v>
      </c>
      <c r="D120" s="6">
        <v>92</v>
      </c>
      <c r="E120" s="6">
        <v>89</v>
      </c>
      <c r="F120" s="6">
        <v>94</v>
      </c>
      <c r="G120" s="6">
        <v>98</v>
      </c>
      <c r="H120" s="6" t="s">
        <v>72</v>
      </c>
    </row>
    <row r="121" spans="1:12" x14ac:dyDescent="0.25">
      <c r="B121" s="6">
        <v>5</v>
      </c>
      <c r="C121" s="6" t="s">
        <v>43</v>
      </c>
      <c r="D121" s="6">
        <v>55</v>
      </c>
      <c r="E121" s="6">
        <v>60</v>
      </c>
      <c r="F121" s="6">
        <v>58</v>
      </c>
      <c r="G121" s="6">
        <v>80</v>
      </c>
      <c r="H121" s="6" t="s">
        <v>73</v>
      </c>
    </row>
    <row r="123" spans="1:12" x14ac:dyDescent="0.25">
      <c r="A123" s="4">
        <v>16</v>
      </c>
      <c r="B123" t="s">
        <v>74</v>
      </c>
      <c r="L123">
        <v>2</v>
      </c>
    </row>
    <row r="124" spans="1:12" x14ac:dyDescent="0.25">
      <c r="A124" s="4" t="s">
        <v>46</v>
      </c>
      <c r="B124" s="5" t="s">
        <v>13</v>
      </c>
      <c r="C124" s="5" t="s">
        <v>14</v>
      </c>
    </row>
    <row r="125" spans="1:12" x14ac:dyDescent="0.25">
      <c r="B125" s="6" t="s">
        <v>11</v>
      </c>
      <c r="C125" s="6">
        <v>225000</v>
      </c>
    </row>
    <row r="126" spans="1:12" x14ac:dyDescent="0.25">
      <c r="B126" s="6" t="s">
        <v>17</v>
      </c>
      <c r="C126" s="6">
        <v>135000</v>
      </c>
    </row>
    <row r="127" spans="1:12" x14ac:dyDescent="0.25">
      <c r="B127" s="6" t="s">
        <v>21</v>
      </c>
      <c r="C127" s="6">
        <v>54000</v>
      </c>
    </row>
    <row r="128" spans="1:12" x14ac:dyDescent="0.25">
      <c r="B128" s="6" t="s">
        <v>27</v>
      </c>
      <c r="C128" s="6">
        <v>414000</v>
      </c>
    </row>
    <row r="130" spans="1:12" x14ac:dyDescent="0.25">
      <c r="A130" s="4">
        <v>17</v>
      </c>
      <c r="B130" t="s">
        <v>75</v>
      </c>
      <c r="L130">
        <v>2</v>
      </c>
    </row>
    <row r="131" spans="1:12" x14ac:dyDescent="0.25">
      <c r="A131" s="4" t="s">
        <v>46</v>
      </c>
      <c r="B131" s="5" t="s">
        <v>13</v>
      </c>
      <c r="C131" s="5" t="s">
        <v>14</v>
      </c>
    </row>
    <row r="132" spans="1:12" x14ac:dyDescent="0.25">
      <c r="B132" s="6" t="s">
        <v>19</v>
      </c>
      <c r="C132" s="6">
        <v>54000</v>
      </c>
      <c r="E132" s="2" t="s">
        <v>13</v>
      </c>
      <c r="F132" t="s">
        <v>103</v>
      </c>
    </row>
    <row r="133" spans="1:12" x14ac:dyDescent="0.25">
      <c r="B133" s="6" t="s">
        <v>9</v>
      </c>
      <c r="C133" s="6">
        <v>150000</v>
      </c>
      <c r="E133" s="1" t="s">
        <v>19</v>
      </c>
      <c r="F133" s="10">
        <v>54000</v>
      </c>
    </row>
    <row r="134" spans="1:12" x14ac:dyDescent="0.25">
      <c r="B134" s="6" t="s">
        <v>15</v>
      </c>
      <c r="C134" s="6">
        <v>165000</v>
      </c>
      <c r="E134" s="1" t="s">
        <v>27</v>
      </c>
      <c r="F134" s="10">
        <v>414000</v>
      </c>
    </row>
    <row r="135" spans="1:12" x14ac:dyDescent="0.25">
      <c r="B135" s="6" t="s">
        <v>23</v>
      </c>
      <c r="C135" s="6">
        <v>45000</v>
      </c>
      <c r="E135" s="1" t="s">
        <v>9</v>
      </c>
      <c r="F135" s="10">
        <v>150000</v>
      </c>
    </row>
    <row r="136" spans="1:12" x14ac:dyDescent="0.25">
      <c r="B136" s="6" t="s">
        <v>27</v>
      </c>
      <c r="C136" s="6">
        <v>414000</v>
      </c>
      <c r="E136" s="1" t="s">
        <v>15</v>
      </c>
      <c r="F136" s="10">
        <v>165000</v>
      </c>
    </row>
    <row r="137" spans="1:12" x14ac:dyDescent="0.25">
      <c r="E137" s="1" t="s">
        <v>23</v>
      </c>
      <c r="F137" s="10">
        <v>45000</v>
      </c>
    </row>
    <row r="138" spans="1:12" x14ac:dyDescent="0.25">
      <c r="E138" s="1" t="s">
        <v>27</v>
      </c>
      <c r="F138" s="10">
        <v>828000</v>
      </c>
    </row>
    <row r="139" spans="1:12" x14ac:dyDescent="0.25">
      <c r="E139" s="1"/>
      <c r="F139" s="10"/>
    </row>
    <row r="140" spans="1:12" x14ac:dyDescent="0.25">
      <c r="A140" s="4">
        <v>18</v>
      </c>
      <c r="B140" t="s">
        <v>76</v>
      </c>
      <c r="L140">
        <v>2</v>
      </c>
    </row>
    <row r="141" spans="1:12" x14ac:dyDescent="0.25">
      <c r="A141" s="4" t="s">
        <v>46</v>
      </c>
    </row>
    <row r="142" spans="1:12" x14ac:dyDescent="0.25">
      <c r="B142" s="2" t="s">
        <v>13</v>
      </c>
      <c r="C142" t="s">
        <v>14</v>
      </c>
    </row>
    <row r="143" spans="1:12" x14ac:dyDescent="0.25">
      <c r="B143" s="1" t="s">
        <v>11</v>
      </c>
      <c r="C143">
        <v>225000</v>
      </c>
    </row>
    <row r="144" spans="1:12" x14ac:dyDescent="0.25">
      <c r="B144" s="1" t="s">
        <v>17</v>
      </c>
      <c r="C144">
        <v>135000</v>
      </c>
    </row>
    <row r="145" spans="1:12" x14ac:dyDescent="0.25">
      <c r="B145" s="1" t="s">
        <v>21</v>
      </c>
      <c r="C145">
        <v>54000</v>
      </c>
    </row>
    <row r="146" spans="1:12" x14ac:dyDescent="0.25">
      <c r="B146" s="1" t="s">
        <v>27</v>
      </c>
      <c r="C146">
        <v>414000</v>
      </c>
    </row>
    <row r="148" spans="1:12" x14ac:dyDescent="0.25">
      <c r="A148" s="4">
        <v>19</v>
      </c>
      <c r="B148" t="s">
        <v>77</v>
      </c>
      <c r="L148">
        <v>2</v>
      </c>
    </row>
    <row r="149" spans="1:12" x14ac:dyDescent="0.25">
      <c r="A149" s="4" t="s">
        <v>46</v>
      </c>
    </row>
    <row r="162" spans="1:12" x14ac:dyDescent="0.25">
      <c r="A162" s="4">
        <v>20</v>
      </c>
      <c r="B162" t="s">
        <v>78</v>
      </c>
      <c r="L162">
        <v>2</v>
      </c>
    </row>
    <row r="163" spans="1:12" x14ac:dyDescent="0.25">
      <c r="A163" s="4" t="s">
        <v>46</v>
      </c>
      <c r="B163" s="5" t="s">
        <v>33</v>
      </c>
      <c r="C163" s="5" t="s">
        <v>34</v>
      </c>
      <c r="D163" s="5" t="s">
        <v>35</v>
      </c>
      <c r="E163" s="5" t="s">
        <v>36</v>
      </c>
      <c r="F163" s="5" t="s">
        <v>37</v>
      </c>
      <c r="G163" s="5" t="s">
        <v>38</v>
      </c>
      <c r="I163" t="s">
        <v>79</v>
      </c>
    </row>
    <row r="164" spans="1:12" x14ac:dyDescent="0.25">
      <c r="B164" s="6">
        <v>1</v>
      </c>
      <c r="C164" s="6" t="s">
        <v>39</v>
      </c>
      <c r="D164" s="6">
        <v>78</v>
      </c>
      <c r="E164" s="6">
        <v>82</v>
      </c>
      <c r="F164" s="6">
        <v>85</v>
      </c>
      <c r="G164" s="6">
        <v>92</v>
      </c>
      <c r="I164">
        <v>82</v>
      </c>
    </row>
    <row r="165" spans="1:12" x14ac:dyDescent="0.25">
      <c r="B165" s="6">
        <v>2</v>
      </c>
      <c r="C165" s="6" t="s">
        <v>40</v>
      </c>
      <c r="D165" s="6">
        <v>88</v>
      </c>
      <c r="E165" s="6">
        <v>91</v>
      </c>
      <c r="F165" s="6">
        <v>90</v>
      </c>
      <c r="G165" s="6">
        <v>96</v>
      </c>
    </row>
    <row r="166" spans="1:12" x14ac:dyDescent="0.25">
      <c r="B166" s="6">
        <v>3</v>
      </c>
      <c r="C166" s="6" t="s">
        <v>41</v>
      </c>
      <c r="D166" s="6">
        <v>65</v>
      </c>
      <c r="E166" s="6">
        <v>70</v>
      </c>
      <c r="F166" s="6">
        <v>72</v>
      </c>
      <c r="G166" s="6">
        <v>85</v>
      </c>
    </row>
    <row r="167" spans="1:12" x14ac:dyDescent="0.25">
      <c r="B167" s="6">
        <v>4</v>
      </c>
      <c r="C167" s="6" t="s">
        <v>42</v>
      </c>
      <c r="D167" s="6">
        <v>92</v>
      </c>
      <c r="E167" s="6">
        <v>89</v>
      </c>
      <c r="F167" s="6">
        <v>94</v>
      </c>
      <c r="G167" s="6">
        <v>98</v>
      </c>
    </row>
    <row r="168" spans="1:12" x14ac:dyDescent="0.25">
      <c r="B168" s="6">
        <v>5</v>
      </c>
      <c r="C168" s="6" t="s">
        <v>43</v>
      </c>
      <c r="D168" s="6">
        <v>55</v>
      </c>
      <c r="E168" s="6">
        <v>60</v>
      </c>
      <c r="F168" s="6">
        <v>58</v>
      </c>
      <c r="G168" s="6">
        <v>80</v>
      </c>
    </row>
    <row r="170" spans="1:12" x14ac:dyDescent="0.25">
      <c r="A170" s="4">
        <v>21</v>
      </c>
      <c r="B170" t="s">
        <v>80</v>
      </c>
      <c r="L170">
        <v>2</v>
      </c>
    </row>
    <row r="171" spans="1:12" x14ac:dyDescent="0.25">
      <c r="A171" s="4" t="s">
        <v>46</v>
      </c>
      <c r="B171" s="5" t="s">
        <v>33</v>
      </c>
      <c r="C171" s="5" t="s">
        <v>34</v>
      </c>
      <c r="D171" s="5" t="s">
        <v>35</v>
      </c>
      <c r="E171" s="5" t="s">
        <v>36</v>
      </c>
      <c r="F171" s="5" t="s">
        <v>37</v>
      </c>
      <c r="G171" s="5" t="s">
        <v>38</v>
      </c>
      <c r="I171" t="s">
        <v>81</v>
      </c>
    </row>
    <row r="172" spans="1:12" x14ac:dyDescent="0.25">
      <c r="B172" s="6">
        <v>1</v>
      </c>
      <c r="C172" s="6" t="s">
        <v>39</v>
      </c>
      <c r="D172" s="6">
        <v>78</v>
      </c>
      <c r="E172" s="6">
        <v>82</v>
      </c>
      <c r="F172" s="6">
        <v>85</v>
      </c>
      <c r="G172" s="6">
        <v>92</v>
      </c>
      <c r="I172">
        <v>14.737706741552426</v>
      </c>
    </row>
    <row r="173" spans="1:12" x14ac:dyDescent="0.25">
      <c r="B173" s="6">
        <v>2</v>
      </c>
      <c r="C173" s="6" t="s">
        <v>40</v>
      </c>
      <c r="D173" s="6">
        <v>88</v>
      </c>
      <c r="E173" s="6">
        <v>91</v>
      </c>
      <c r="F173" s="6">
        <v>90</v>
      </c>
      <c r="G173" s="6">
        <v>96</v>
      </c>
    </row>
    <row r="174" spans="1:12" x14ac:dyDescent="0.25">
      <c r="B174" s="6">
        <v>3</v>
      </c>
      <c r="C174" s="6" t="s">
        <v>41</v>
      </c>
      <c r="D174" s="6">
        <v>65</v>
      </c>
      <c r="E174" s="6">
        <v>70</v>
      </c>
      <c r="F174" s="6">
        <v>72</v>
      </c>
      <c r="G174" s="6">
        <v>85</v>
      </c>
    </row>
    <row r="175" spans="1:12" x14ac:dyDescent="0.25">
      <c r="B175" s="6">
        <v>4</v>
      </c>
      <c r="C175" s="6" t="s">
        <v>42</v>
      </c>
      <c r="D175" s="6">
        <v>92</v>
      </c>
      <c r="E175" s="6">
        <v>89</v>
      </c>
      <c r="F175" s="6">
        <v>94</v>
      </c>
      <c r="G175" s="6">
        <v>98</v>
      </c>
    </row>
    <row r="176" spans="1:12" x14ac:dyDescent="0.25">
      <c r="B176" s="6">
        <v>5</v>
      </c>
      <c r="C176" s="6" t="s">
        <v>43</v>
      </c>
      <c r="D176" s="6">
        <v>55</v>
      </c>
      <c r="E176" s="6">
        <v>60</v>
      </c>
      <c r="F176" s="6">
        <v>58</v>
      </c>
      <c r="G176" s="6">
        <v>80</v>
      </c>
    </row>
    <row r="178" spans="1:12" x14ac:dyDescent="0.25">
      <c r="A178" s="4">
        <v>22</v>
      </c>
      <c r="B178" t="s">
        <v>82</v>
      </c>
      <c r="L178">
        <v>2</v>
      </c>
    </row>
    <row r="179" spans="1:12" x14ac:dyDescent="0.25">
      <c r="A179" s="4" t="s">
        <v>46</v>
      </c>
      <c r="B179" s="5" t="s">
        <v>33</v>
      </c>
      <c r="C179" s="5" t="s">
        <v>34</v>
      </c>
      <c r="D179" s="5" t="s">
        <v>83</v>
      </c>
    </row>
    <row r="180" spans="1:12" x14ac:dyDescent="0.25">
      <c r="B180" s="6">
        <v>1</v>
      </c>
      <c r="C180" s="6" t="s">
        <v>39</v>
      </c>
      <c r="D180" s="6" t="s">
        <v>84</v>
      </c>
    </row>
    <row r="181" spans="1:12" x14ac:dyDescent="0.25">
      <c r="B181" s="6">
        <v>2</v>
      </c>
      <c r="C181" s="6" t="s">
        <v>40</v>
      </c>
      <c r="D181" s="6" t="s">
        <v>85</v>
      </c>
    </row>
    <row r="182" spans="1:12" x14ac:dyDescent="0.25">
      <c r="B182" s="6">
        <v>3</v>
      </c>
      <c r="C182" s="6" t="s">
        <v>41</v>
      </c>
      <c r="D182" s="6" t="s">
        <v>86</v>
      </c>
    </row>
    <row r="183" spans="1:12" x14ac:dyDescent="0.25">
      <c r="B183" s="6">
        <v>4</v>
      </c>
      <c r="C183" s="6" t="s">
        <v>42</v>
      </c>
      <c r="D183" s="6" t="s">
        <v>87</v>
      </c>
    </row>
    <row r="184" spans="1:12" x14ac:dyDescent="0.25">
      <c r="B184" s="6">
        <v>5</v>
      </c>
      <c r="C184" s="6" t="s">
        <v>43</v>
      </c>
      <c r="D184" s="6" t="s">
        <v>88</v>
      </c>
    </row>
    <row r="186" spans="1:12" x14ac:dyDescent="0.25">
      <c r="A186" s="4">
        <v>23</v>
      </c>
      <c r="B186" t="s">
        <v>89</v>
      </c>
      <c r="L186">
        <v>2</v>
      </c>
    </row>
    <row r="187" spans="1:12" x14ac:dyDescent="0.25">
      <c r="A187" s="4" t="s">
        <v>46</v>
      </c>
      <c r="C187" s="5" t="s">
        <v>2</v>
      </c>
      <c r="D187" s="5" t="s">
        <v>90</v>
      </c>
    </row>
    <row r="188" spans="1:12" x14ac:dyDescent="0.25">
      <c r="C188" s="6" t="s">
        <v>10</v>
      </c>
      <c r="D188" s="6" t="s">
        <v>91</v>
      </c>
    </row>
    <row r="189" spans="1:12" x14ac:dyDescent="0.25">
      <c r="C189" s="6" t="s">
        <v>16</v>
      </c>
      <c r="D189" s="6" t="s">
        <v>92</v>
      </c>
    </row>
    <row r="190" spans="1:12" x14ac:dyDescent="0.25">
      <c r="C190" s="6" t="s">
        <v>20</v>
      </c>
      <c r="D190" s="6" t="s">
        <v>93</v>
      </c>
    </row>
    <row r="191" spans="1:12" x14ac:dyDescent="0.25">
      <c r="C191" s="6" t="s">
        <v>24</v>
      </c>
      <c r="D191" s="6" t="s">
        <v>94</v>
      </c>
    </row>
    <row r="192" spans="1:12" x14ac:dyDescent="0.25">
      <c r="C192" s="6" t="s">
        <v>10</v>
      </c>
      <c r="D192" s="6" t="s">
        <v>91</v>
      </c>
    </row>
    <row r="193" spans="1:12" x14ac:dyDescent="0.25">
      <c r="C193" s="6" t="s">
        <v>16</v>
      </c>
      <c r="D193" s="6" t="s">
        <v>92</v>
      </c>
    </row>
    <row r="195" spans="1:12" x14ac:dyDescent="0.25">
      <c r="A195" s="4">
        <v>24</v>
      </c>
      <c r="B195" t="s">
        <v>95</v>
      </c>
      <c r="L195">
        <v>2</v>
      </c>
    </row>
    <row r="196" spans="1:12" x14ac:dyDescent="0.25">
      <c r="A196" s="4" t="s">
        <v>46</v>
      </c>
    </row>
    <row r="197" spans="1:12" x14ac:dyDescent="0.25">
      <c r="B197" s="5" t="s">
        <v>7</v>
      </c>
    </row>
    <row r="198" spans="1:12" x14ac:dyDescent="0.25">
      <c r="B198" s="6">
        <v>90000</v>
      </c>
    </row>
    <row r="199" spans="1:12" x14ac:dyDescent="0.25">
      <c r="B199" s="6">
        <v>90000</v>
      </c>
    </row>
    <row r="200" spans="1:12" x14ac:dyDescent="0.25">
      <c r="B200" s="6">
        <v>75000</v>
      </c>
    </row>
    <row r="201" spans="1:12" x14ac:dyDescent="0.25">
      <c r="B201" s="6">
        <v>60000</v>
      </c>
    </row>
    <row r="202" spans="1:12" x14ac:dyDescent="0.25">
      <c r="B202" s="6">
        <v>54000</v>
      </c>
    </row>
    <row r="203" spans="1:12" x14ac:dyDescent="0.25">
      <c r="B203" s="6">
        <v>45000</v>
      </c>
    </row>
    <row r="205" spans="1:12" x14ac:dyDescent="0.25">
      <c r="A205" s="4">
        <v>25</v>
      </c>
      <c r="B205" t="s">
        <v>96</v>
      </c>
      <c r="L205">
        <v>2</v>
      </c>
    </row>
    <row r="206" spans="1:12" x14ac:dyDescent="0.25">
      <c r="A206" s="4" t="s">
        <v>46</v>
      </c>
      <c r="C206" s="15" t="s">
        <v>2</v>
      </c>
      <c r="D206" s="16" t="s">
        <v>3</v>
      </c>
      <c r="E206" s="17" t="s">
        <v>4</v>
      </c>
    </row>
    <row r="207" spans="1:12" hidden="1" x14ac:dyDescent="0.25">
      <c r="C207" s="13" t="s">
        <v>10</v>
      </c>
      <c r="D207" s="6" t="s">
        <v>11</v>
      </c>
      <c r="E207" s="14">
        <v>2</v>
      </c>
    </row>
    <row r="208" spans="1:12" hidden="1" x14ac:dyDescent="0.25">
      <c r="C208" s="13" t="s">
        <v>16</v>
      </c>
      <c r="D208" s="6" t="s">
        <v>17</v>
      </c>
      <c r="E208" s="14">
        <v>5</v>
      </c>
    </row>
    <row r="209" spans="1:12" hidden="1" x14ac:dyDescent="0.25">
      <c r="C209" s="13" t="s">
        <v>20</v>
      </c>
      <c r="D209" s="6" t="s">
        <v>21</v>
      </c>
      <c r="E209" s="14">
        <v>3</v>
      </c>
    </row>
    <row r="210" spans="1:12" x14ac:dyDescent="0.25">
      <c r="C210" s="13" t="s">
        <v>24</v>
      </c>
      <c r="D210" s="6" t="s">
        <v>11</v>
      </c>
      <c r="E210" s="14">
        <v>1</v>
      </c>
    </row>
    <row r="211" spans="1:12" hidden="1" x14ac:dyDescent="0.25">
      <c r="C211" s="13" t="s">
        <v>10</v>
      </c>
      <c r="D211" s="6" t="s">
        <v>17</v>
      </c>
      <c r="E211" s="14">
        <v>4</v>
      </c>
    </row>
    <row r="212" spans="1:12" hidden="1" x14ac:dyDescent="0.25">
      <c r="C212" s="18" t="s">
        <v>16</v>
      </c>
      <c r="D212" s="19" t="s">
        <v>11</v>
      </c>
      <c r="E212" s="20">
        <v>2</v>
      </c>
    </row>
    <row r="214" spans="1:12" x14ac:dyDescent="0.25">
      <c r="A214" s="4">
        <v>26</v>
      </c>
      <c r="B214" t="s">
        <v>97</v>
      </c>
      <c r="L214">
        <v>2</v>
      </c>
    </row>
    <row r="215" spans="1:12" x14ac:dyDescent="0.25">
      <c r="A215" s="4" t="s">
        <v>46</v>
      </c>
      <c r="B215" s="5" t="s">
        <v>0</v>
      </c>
      <c r="C215" s="5" t="s">
        <v>1</v>
      </c>
      <c r="D215" s="5" t="s">
        <v>2</v>
      </c>
      <c r="E215" s="5" t="s">
        <v>3</v>
      </c>
    </row>
    <row r="216" spans="1:12" x14ac:dyDescent="0.25">
      <c r="B216" s="6">
        <v>301</v>
      </c>
      <c r="C216" s="6" t="s">
        <v>9</v>
      </c>
      <c r="D216" s="6" t="s">
        <v>10</v>
      </c>
      <c r="E216" s="6" t="s">
        <v>11</v>
      </c>
      <c r="F216">
        <f>COUNTIFS(C216:C221,C216,E216:E221,E221)</f>
        <v>1</v>
      </c>
    </row>
    <row r="217" spans="1:12" x14ac:dyDescent="0.25">
      <c r="B217" s="6">
        <v>302</v>
      </c>
      <c r="C217" s="6" t="s">
        <v>15</v>
      </c>
      <c r="D217" s="6" t="s">
        <v>16</v>
      </c>
      <c r="E217" s="6" t="s">
        <v>17</v>
      </c>
    </row>
    <row r="218" spans="1:12" x14ac:dyDescent="0.25">
      <c r="B218" s="6">
        <v>303</v>
      </c>
      <c r="C218" s="6" t="s">
        <v>19</v>
      </c>
      <c r="D218" s="6" t="s">
        <v>20</v>
      </c>
      <c r="E218" s="6" t="s">
        <v>21</v>
      </c>
    </row>
    <row r="219" spans="1:12" x14ac:dyDescent="0.25">
      <c r="B219" s="6">
        <v>304</v>
      </c>
      <c r="C219" s="6" t="s">
        <v>23</v>
      </c>
      <c r="D219" s="6" t="s">
        <v>24</v>
      </c>
      <c r="E219" s="6" t="s">
        <v>11</v>
      </c>
    </row>
    <row r="220" spans="1:12" x14ac:dyDescent="0.25">
      <c r="B220" s="6">
        <v>305</v>
      </c>
      <c r="C220" s="6" t="s">
        <v>9</v>
      </c>
      <c r="D220" s="6" t="s">
        <v>10</v>
      </c>
      <c r="E220" s="6" t="s">
        <v>17</v>
      </c>
    </row>
    <row r="221" spans="1:12" x14ac:dyDescent="0.25">
      <c r="B221" s="6">
        <v>306</v>
      </c>
      <c r="C221" s="6" t="s">
        <v>15</v>
      </c>
      <c r="D221" s="6" t="s">
        <v>16</v>
      </c>
      <c r="E221" s="6" t="s">
        <v>11</v>
      </c>
    </row>
    <row r="223" spans="1:12" x14ac:dyDescent="0.25">
      <c r="A223" s="4">
        <v>27</v>
      </c>
      <c r="B223" t="s">
        <v>98</v>
      </c>
      <c r="L223">
        <v>2</v>
      </c>
    </row>
    <row r="224" spans="1:12" x14ac:dyDescent="0.25">
      <c r="A224" s="4" t="s">
        <v>46</v>
      </c>
      <c r="B224" s="5" t="s">
        <v>5</v>
      </c>
      <c r="C224" s="5" t="s">
        <v>99</v>
      </c>
    </row>
    <row r="225" spans="1:12" x14ac:dyDescent="0.25">
      <c r="B225" s="6">
        <v>45000</v>
      </c>
      <c r="C225" s="6">
        <v>45000</v>
      </c>
    </row>
    <row r="226" spans="1:12" x14ac:dyDescent="0.25">
      <c r="B226" s="6">
        <v>15000</v>
      </c>
      <c r="C226" s="6">
        <v>15000</v>
      </c>
    </row>
    <row r="227" spans="1:12" x14ac:dyDescent="0.25">
      <c r="B227" s="6">
        <v>18000</v>
      </c>
      <c r="C227" s="6">
        <v>18000</v>
      </c>
    </row>
    <row r="228" spans="1:12" x14ac:dyDescent="0.25">
      <c r="B228" s="6">
        <v>45000</v>
      </c>
      <c r="C228" s="6">
        <v>45000</v>
      </c>
    </row>
    <row r="229" spans="1:12" x14ac:dyDescent="0.25">
      <c r="B229" s="6">
        <v>15000</v>
      </c>
      <c r="C229" s="6">
        <v>15000</v>
      </c>
    </row>
    <row r="230" spans="1:12" x14ac:dyDescent="0.25">
      <c r="B230" s="6">
        <v>45000</v>
      </c>
      <c r="C230" s="6">
        <v>45000</v>
      </c>
    </row>
    <row r="233" spans="1:12" x14ac:dyDescent="0.25">
      <c r="A233" s="4">
        <v>28</v>
      </c>
      <c r="B233" t="s">
        <v>100</v>
      </c>
      <c r="L233">
        <v>2</v>
      </c>
    </row>
    <row r="234" spans="1:12" x14ac:dyDescent="0.25">
      <c r="A234" s="4" t="s">
        <v>46</v>
      </c>
    </row>
    <row r="235" spans="1:12" x14ac:dyDescent="0.25">
      <c r="B235" s="5" t="s">
        <v>0</v>
      </c>
      <c r="C235" s="5" t="s">
        <v>1</v>
      </c>
      <c r="D235" s="5" t="s">
        <v>2</v>
      </c>
      <c r="E235" s="5" t="s">
        <v>3</v>
      </c>
      <c r="F235" s="5" t="s">
        <v>4</v>
      </c>
      <c r="G235" s="5" t="s">
        <v>5</v>
      </c>
      <c r="H235" s="5" t="s">
        <v>6</v>
      </c>
    </row>
    <row r="236" spans="1:12" x14ac:dyDescent="0.25">
      <c r="B236" s="6">
        <v>301</v>
      </c>
      <c r="C236" s="6" t="s">
        <v>9</v>
      </c>
      <c r="D236" s="6" t="s">
        <v>10</v>
      </c>
      <c r="E236" s="6" t="s">
        <v>11</v>
      </c>
      <c r="F236" s="6">
        <v>2</v>
      </c>
      <c r="G236" s="6">
        <v>45000</v>
      </c>
      <c r="H236" s="6" t="s">
        <v>12</v>
      </c>
    </row>
    <row r="237" spans="1:12" x14ac:dyDescent="0.25">
      <c r="B237" s="6">
        <v>302</v>
      </c>
      <c r="C237" s="6" t="s">
        <v>15</v>
      </c>
      <c r="D237" s="6" t="s">
        <v>16</v>
      </c>
      <c r="E237" s="6" t="s">
        <v>17</v>
      </c>
      <c r="F237" s="6">
        <v>5</v>
      </c>
      <c r="G237" s="6">
        <v>15000</v>
      </c>
      <c r="H237" s="6" t="s">
        <v>18</v>
      </c>
    </row>
    <row r="238" spans="1:12" x14ac:dyDescent="0.25">
      <c r="B238" s="6">
        <v>303</v>
      </c>
      <c r="C238" s="6" t="s">
        <v>19</v>
      </c>
      <c r="D238" s="6" t="s">
        <v>20</v>
      </c>
      <c r="E238" s="6" t="s">
        <v>21</v>
      </c>
      <c r="F238" s="6">
        <v>3</v>
      </c>
      <c r="G238" s="6">
        <v>18000</v>
      </c>
      <c r="H238" s="6" t="s">
        <v>22</v>
      </c>
    </row>
    <row r="239" spans="1:12" x14ac:dyDescent="0.25">
      <c r="B239" s="6">
        <v>304</v>
      </c>
      <c r="C239" s="6" t="s">
        <v>23</v>
      </c>
      <c r="D239" s="6" t="s">
        <v>24</v>
      </c>
      <c r="E239" s="6" t="s">
        <v>11</v>
      </c>
      <c r="F239" s="6">
        <v>1</v>
      </c>
      <c r="G239" s="6">
        <v>45000</v>
      </c>
      <c r="H239" s="6" t="s">
        <v>25</v>
      </c>
    </row>
    <row r="240" spans="1:12" x14ac:dyDescent="0.25">
      <c r="B240" s="6">
        <v>305</v>
      </c>
      <c r="C240" s="6" t="s">
        <v>9</v>
      </c>
      <c r="D240" s="6" t="s">
        <v>10</v>
      </c>
      <c r="E240" s="6" t="s">
        <v>17</v>
      </c>
      <c r="F240" s="6">
        <v>4</v>
      </c>
      <c r="G240" s="6">
        <v>15000</v>
      </c>
      <c r="H240" s="6" t="s">
        <v>26</v>
      </c>
    </row>
    <row r="241" spans="1:12" x14ac:dyDescent="0.25">
      <c r="B241" s="6">
        <v>306</v>
      </c>
      <c r="C241" s="6" t="s">
        <v>15</v>
      </c>
      <c r="D241" s="6" t="s">
        <v>16</v>
      </c>
      <c r="E241" s="6" t="s">
        <v>11</v>
      </c>
      <c r="F241" s="6">
        <v>2</v>
      </c>
      <c r="G241" s="6">
        <v>45000</v>
      </c>
      <c r="H241" s="6" t="s">
        <v>28</v>
      </c>
    </row>
    <row r="243" spans="1:12" x14ac:dyDescent="0.25">
      <c r="A243" s="4">
        <v>29</v>
      </c>
      <c r="B243" t="s">
        <v>101</v>
      </c>
      <c r="L243">
        <v>2</v>
      </c>
    </row>
    <row r="244" spans="1:12" x14ac:dyDescent="0.25">
      <c r="A244" s="4" t="s">
        <v>46</v>
      </c>
    </row>
    <row r="245" spans="1:12" x14ac:dyDescent="0.25">
      <c r="B245" s="5" t="s">
        <v>0</v>
      </c>
      <c r="C245" s="5" t="s">
        <v>1</v>
      </c>
      <c r="D245" s="5" t="s">
        <v>2</v>
      </c>
      <c r="E245" s="5" t="s">
        <v>3</v>
      </c>
      <c r="F245" s="5" t="s">
        <v>4</v>
      </c>
      <c r="G245" s="5" t="s">
        <v>5</v>
      </c>
      <c r="H245" s="5" t="s">
        <v>6</v>
      </c>
    </row>
    <row r="246" spans="1:12" x14ac:dyDescent="0.25">
      <c r="B246" s="6">
        <v>301</v>
      </c>
      <c r="C246" s="6" t="s">
        <v>9</v>
      </c>
      <c r="D246" s="6" t="s">
        <v>10</v>
      </c>
      <c r="E246" s="6" t="s">
        <v>11</v>
      </c>
      <c r="F246" s="6">
        <v>2</v>
      </c>
      <c r="G246" s="6">
        <v>45000</v>
      </c>
      <c r="H246" s="6" t="s">
        <v>12</v>
      </c>
    </row>
    <row r="247" spans="1:12" x14ac:dyDescent="0.25">
      <c r="B247" s="6">
        <v>302</v>
      </c>
      <c r="C247" s="6" t="s">
        <v>15</v>
      </c>
      <c r="D247" s="6" t="s">
        <v>16</v>
      </c>
      <c r="E247" s="6" t="s">
        <v>17</v>
      </c>
      <c r="F247" s="6">
        <v>5</v>
      </c>
      <c r="G247" s="6">
        <v>15000</v>
      </c>
      <c r="H247" s="6" t="s">
        <v>18</v>
      </c>
    </row>
    <row r="248" spans="1:12" x14ac:dyDescent="0.25">
      <c r="B248" s="6">
        <v>303</v>
      </c>
      <c r="C248" s="6" t="s">
        <v>19</v>
      </c>
      <c r="D248" s="6" t="s">
        <v>20</v>
      </c>
      <c r="E248" s="6" t="s">
        <v>21</v>
      </c>
      <c r="F248" s="6">
        <v>3</v>
      </c>
      <c r="G248" s="6">
        <v>18000</v>
      </c>
      <c r="H248" s="6" t="s">
        <v>22</v>
      </c>
    </row>
    <row r="249" spans="1:12" x14ac:dyDescent="0.25">
      <c r="B249" s="6">
        <v>304</v>
      </c>
      <c r="C249" s="6" t="s">
        <v>23</v>
      </c>
      <c r="D249" s="6" t="s">
        <v>24</v>
      </c>
      <c r="E249" s="6" t="s">
        <v>11</v>
      </c>
      <c r="F249" s="6">
        <v>1</v>
      </c>
      <c r="G249" s="6">
        <v>45000</v>
      </c>
      <c r="H249" s="6" t="s">
        <v>25</v>
      </c>
    </row>
    <row r="250" spans="1:12" x14ac:dyDescent="0.25">
      <c r="B250" s="6">
        <v>305</v>
      </c>
      <c r="C250" s="6" t="s">
        <v>9</v>
      </c>
      <c r="D250" s="6" t="s">
        <v>10</v>
      </c>
      <c r="E250" s="6" t="s">
        <v>17</v>
      </c>
      <c r="F250" s="6">
        <v>4</v>
      </c>
      <c r="G250" s="6">
        <v>15000</v>
      </c>
      <c r="H250" s="6" t="s">
        <v>26</v>
      </c>
    </row>
    <row r="251" spans="1:12" x14ac:dyDescent="0.25">
      <c r="B251" s="6">
        <v>306</v>
      </c>
      <c r="C251" s="6" t="s">
        <v>15</v>
      </c>
      <c r="D251" s="6" t="s">
        <v>16</v>
      </c>
      <c r="E251" s="6" t="s">
        <v>11</v>
      </c>
      <c r="F251" s="6">
        <v>2</v>
      </c>
      <c r="G251" s="6">
        <v>45000</v>
      </c>
      <c r="H251" s="6" t="s">
        <v>28</v>
      </c>
    </row>
    <row r="253" spans="1:12" x14ac:dyDescent="0.25">
      <c r="A253" s="4">
        <v>30</v>
      </c>
      <c r="B253" t="s">
        <v>102</v>
      </c>
      <c r="L253">
        <v>2</v>
      </c>
    </row>
    <row r="254" spans="1:12" x14ac:dyDescent="0.25">
      <c r="A254" s="4" t="s">
        <v>46</v>
      </c>
    </row>
    <row r="255" spans="1:12" x14ac:dyDescent="0.25">
      <c r="B255" s="5" t="s">
        <v>33</v>
      </c>
      <c r="C255" s="5" t="s">
        <v>34</v>
      </c>
      <c r="D255" s="5" t="s">
        <v>35</v>
      </c>
      <c r="E255" s="5" t="s">
        <v>36</v>
      </c>
      <c r="F255" s="5" t="s">
        <v>37</v>
      </c>
      <c r="G255" s="5" t="s">
        <v>38</v>
      </c>
      <c r="L255">
        <v>60</v>
      </c>
    </row>
    <row r="256" spans="1:12" x14ac:dyDescent="0.25">
      <c r="B256" s="6">
        <v>1</v>
      </c>
      <c r="C256" s="6" t="s">
        <v>39</v>
      </c>
      <c r="D256" s="6">
        <v>78</v>
      </c>
      <c r="E256" s="6">
        <v>82</v>
      </c>
      <c r="F256" s="6">
        <v>85</v>
      </c>
      <c r="G256" s="6">
        <v>92</v>
      </c>
    </row>
    <row r="257" spans="2:7" x14ac:dyDescent="0.25">
      <c r="B257" s="6">
        <v>2</v>
      </c>
      <c r="C257" s="6" t="s">
        <v>40</v>
      </c>
      <c r="D257" s="6">
        <v>88</v>
      </c>
      <c r="E257" s="6">
        <v>91</v>
      </c>
      <c r="F257" s="6">
        <v>90</v>
      </c>
      <c r="G257" s="6">
        <v>96</v>
      </c>
    </row>
    <row r="258" spans="2:7" x14ac:dyDescent="0.25">
      <c r="B258" s="6">
        <v>3</v>
      </c>
      <c r="C258" s="6" t="s">
        <v>41</v>
      </c>
      <c r="D258" s="6">
        <v>65</v>
      </c>
      <c r="E258" s="6">
        <v>70</v>
      </c>
      <c r="F258" s="6">
        <v>72</v>
      </c>
      <c r="G258" s="6">
        <v>85</v>
      </c>
    </row>
    <row r="259" spans="2:7" x14ac:dyDescent="0.25">
      <c r="B259" s="6">
        <v>4</v>
      </c>
      <c r="C259" s="6" t="s">
        <v>42</v>
      </c>
      <c r="D259" s="6">
        <v>92</v>
      </c>
      <c r="E259" s="6">
        <v>89</v>
      </c>
      <c r="F259" s="6">
        <v>94</v>
      </c>
      <c r="G259" s="6">
        <v>98</v>
      </c>
    </row>
    <row r="260" spans="2:7" x14ac:dyDescent="0.25">
      <c r="B260" s="6">
        <v>5</v>
      </c>
      <c r="C260" s="6" t="s">
        <v>43</v>
      </c>
      <c r="D260" s="6">
        <v>55</v>
      </c>
      <c r="E260" s="6">
        <v>60</v>
      </c>
      <c r="F260" s="6">
        <v>58</v>
      </c>
      <c r="G260" s="6">
        <v>80</v>
      </c>
    </row>
    <row r="261" spans="2:7" x14ac:dyDescent="0.25">
      <c r="C261" s="21" t="s">
        <v>104</v>
      </c>
    </row>
  </sheetData>
  <conditionalFormatting sqref="G99:G103">
    <cfRule type="aboveAverage" dxfId="2" priority="3"/>
  </conditionalFormatting>
  <conditionalFormatting sqref="G108:G112">
    <cfRule type="cellIs" dxfId="1" priority="2" operator="greaterThan">
      <formula>90</formula>
    </cfRule>
  </conditionalFormatting>
  <conditionalFormatting sqref="B198:B203">
    <cfRule type="cellIs" dxfId="0" priority="1" operator="greaterThan">
      <formula>60000</formula>
    </cfRule>
  </conditionalFormatting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Task-Qustions</vt:lpstr>
      <vt:lpstr>Answers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2026-07-23T15:50:10Z</dcterms:created>
  <dcterms:modified xsi:type="dcterms:W3CDTF">2026-07-23T17:14:02Z</dcterms:modified>
</cp:coreProperties>
</file>