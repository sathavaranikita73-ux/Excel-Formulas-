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DC47\Desktop\Nikita Sathavara\"/>
    </mc:Choice>
  </mc:AlternateContent>
  <xr:revisionPtr revIDLastSave="0" documentId="13_ncr:1_{6D8C3574-99C6-491E-BB16-F6A305264F8A}" xr6:coauthVersionLast="47" xr6:coauthVersionMax="47" xr10:uidLastSave="{00000000-0000-0000-0000-000000000000}"/>
  <bookViews>
    <workbookView xWindow="-120" yWindow="-120" windowWidth="20730" windowHeight="11040" firstSheet="4" activeTab="4" xr2:uid="{00000000-000D-0000-FFFF-FFFF00000000}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</sheets>
  <definedNames>
    <definedName name="_xlnm._FilterDatabase" localSheetId="1" hidden="1">Sales_Data!$A$1:$I$1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" i="5" l="1"/>
  <c r="D166" i="5"/>
  <c r="D167" i="5"/>
  <c r="D168" i="5"/>
  <c r="D169" i="5"/>
  <c r="D165" i="5"/>
  <c r="K22" i="5"/>
  <c r="K23" i="5"/>
  <c r="K24" i="5"/>
  <c r="K25" i="5"/>
  <c r="K26" i="5"/>
  <c r="K21" i="5"/>
  <c r="I12" i="5"/>
  <c r="I13" i="5"/>
  <c r="I14" i="5"/>
  <c r="I15" i="5"/>
  <c r="I16" i="5"/>
  <c r="I11" i="5"/>
  <c r="D3" i="3"/>
  <c r="D4" i="3"/>
  <c r="D2" i="3"/>
  <c r="I4" i="5"/>
  <c r="I5" i="5"/>
  <c r="I6" i="5"/>
  <c r="I7" i="5"/>
  <c r="I8" i="5"/>
  <c r="I3" i="5"/>
  <c r="C206" i="5"/>
  <c r="C207" i="5"/>
  <c r="C208" i="5"/>
  <c r="C209" i="5"/>
  <c r="C210" i="5"/>
  <c r="C205" i="5"/>
  <c r="C200" i="5"/>
  <c r="D174" i="5"/>
  <c r="D175" i="5"/>
  <c r="D176" i="5"/>
  <c r="D177" i="5"/>
  <c r="D178" i="5"/>
  <c r="D173" i="5"/>
  <c r="I157" i="5"/>
  <c r="I149" i="5"/>
  <c r="I103" i="5" l="1"/>
  <c r="I104" i="5"/>
  <c r="I105" i="5"/>
  <c r="I106" i="5"/>
  <c r="I102" i="5"/>
  <c r="G88" i="5"/>
  <c r="G87" i="5"/>
  <c r="G86" i="5"/>
  <c r="G85" i="5"/>
  <c r="G84" i="5"/>
  <c r="G79" i="5"/>
  <c r="G78" i="5"/>
  <c r="G77" i="5"/>
  <c r="G80" i="5"/>
  <c r="G76" i="5"/>
  <c r="H2" i="4" a="1"/>
  <c r="H3" i="4" a="1"/>
  <c r="H4" i="4" a="1"/>
  <c r="H5" i="4" a="1"/>
  <c r="H6" i="4" a="1"/>
  <c r="D71" i="5"/>
  <c r="D72" i="5"/>
  <c r="D70" i="5"/>
  <c r="C56" i="5"/>
  <c r="I3" i="2"/>
  <c r="I4" i="2"/>
  <c r="I6" i="2"/>
  <c r="C50" i="5"/>
  <c r="C39" i="5"/>
  <c r="C6" i="3"/>
  <c r="H2" i="2" a="1"/>
  <c r="I5" i="2" s="1"/>
  <c r="I7" i="2" l="1"/>
  <c r="F15" i="2"/>
  <c r="C53" i="5"/>
  <c r="C42" i="5" a="1"/>
  <c r="C42" i="5" s="1"/>
  <c r="C54" i="5"/>
  <c r="H6" i="4"/>
  <c r="H5" i="4"/>
  <c r="H4" i="4"/>
  <c r="H3" i="4"/>
  <c r="H2" i="4"/>
  <c r="H2" i="2"/>
  <c r="I2" i="2" s="1"/>
  <c r="L235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<sst xmlns="http://schemas.openxmlformats.org/spreadsheetml/2006/main" count="461" uniqueCount="93">
  <si>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</si>
  <si>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</si>
  <si>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</si>
  <si>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</si>
  <si>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</si>
  <si>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</si>
  <si>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</si>
  <si>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</si>
  <si>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</si>
  <si>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</si>
  <si>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</si>
  <si>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</si>
  <si>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</si>
  <si>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</si>
  <si>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</si>
  <si>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</si>
  <si>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</si>
  <si>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</si>
  <si>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</si>
  <si>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</si>
  <si>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</si>
  <si>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</si>
  <si>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</si>
  <si>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</si>
  <si>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</si>
  <si>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</si>
  <si>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</si>
  <si>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</si>
  <si>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</si>
  <si>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</si>
  <si>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</si>
  <si>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</si>
  <si>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</si>
  <si>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</si>
  <si>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</si>
  <si>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</si>
  <si>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</si>
  <si>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</si>
  <si>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</si>
  <si>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</si>
  <si>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</si>
  <si>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</si>
  <si>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</si>
  <si>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</si>
  <si>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</si>
  <si>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</si>
  <si>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</si>
  <si>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</si>
  <si>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</si>
  <si>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</si>
  <si>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</si>
  <si>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</si>
  <si>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</si>
  <si>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</si>
  <si>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</si>
  <si>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</si>
  <si>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</si>
  <si>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</si>
  <si>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</si>
  <si>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</si>
  <si>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</si>
  <si>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</si>
  <si>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</si>
  <si>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</si>
  <si>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</si>
  <si>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</si>
  <si>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</si>
  <si>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</si>
  <si>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</si>
  <si>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</si>
  <si>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</si>
  <si>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</si>
  <si>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>ans</t>
  </si>
  <si>
    <t>total</t>
  </si>
  <si>
    <t>minimum</t>
  </si>
  <si>
    <t>maximum</t>
  </si>
  <si>
    <t>gst amount</t>
  </si>
  <si>
    <t>category</t>
  </si>
  <si>
    <t>avg marks</t>
  </si>
  <si>
    <t>classify</t>
  </si>
  <si>
    <t>Row Labels</t>
  </si>
  <si>
    <t>Grand Total</t>
  </si>
  <si>
    <t>Sum of total</t>
  </si>
  <si>
    <t>Sum of Excel</t>
  </si>
  <si>
    <t>median</t>
  </si>
  <si>
    <t>stdiv</t>
  </si>
  <si>
    <t>left function</t>
  </si>
  <si>
    <t>round</t>
  </si>
  <si>
    <t>total sale</t>
  </si>
  <si>
    <t>gst</t>
  </si>
  <si>
    <t>22.Use Concate to combine student_id and name</t>
  </si>
  <si>
    <t>concate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</si>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</sst>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</cellStyleXfs>
  <cellXfs count="11">
    <xf numFmtId="0" fontId="0" fillId="0" borderId="0" xfId="0"/>
    <xf numFmtId="1" fontId="0" fillId="0" borderId="0" xfId="1" applyNumberFormat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2"/>
    <xf numFmtId="0" fontId="3" fillId="3" borderId="1" xfId="3"/>
    <xf numFmtId="2" fontId="3" fillId="3" borderId="1" xfId="3" applyNumberFormat="1"/>
    <xf numFmtId="0" fontId="4" fillId="0" borderId="0" xfId="0" applyFont="1"/>
    <xf numFmtId="9" fontId="0" fillId="0" borderId="0" xfId="1" applyFont="1"/>
    <xf numFmtId="2" fontId="0" fillId="0" borderId="0" xfId="1" applyNumberFormat="1" applyFont="1"/>
  </cellXfs>
  <cellStyles count="4">
    <cellStyle name="Bad" xfId="2" builtinId="27"/>
    <cellStyle name="Input" xfId="3" builtinId="20"/>
    <cellStyle name="Normal" xfId="0" builtinId="0"/>
    <cellStyle name="Percent" xfId="1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[MS_Excel_Practical_Exam_Medium_Level (1) (1).xlsx]Sales_Data!PivotTable3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Sales_Data!$M$2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Sales_Data!$L$3:$L$6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Sales_Data!$M$3:$M$6</c:f>
              <c:numCache>
                <c:formatCode>General</c:formatCode>
                <c:ptCount val="3"/>
                <c:pt idx="0">
                  <c:v>225000</c:v>
                </c:pt>
                <c:pt idx="1">
                  <c:v>135000</c:v>
                </c:pt>
                <c:pt idx="2">
                  <c:v>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5D-4A7F-9C2B-48A13B392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2917096"/>
        <c:axId val="332917880"/>
      </c:barChart>
      <c:catAx>
        <c:axId val="332917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917880"/>
        <c:crosses val="autoZero"/>
        <c:auto val="1"/>
        <c:lblAlgn val="ctr"/>
        <c:lblOffset val="100"/>
        <c:noMultiLvlLbl val="0"/>
      </c:catAx>
      <c:valAx>
        <c:axId val="332917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917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[MS_Excel_Practical_Exam_Medium_Level (1) (1).xlsx]Student_Marks!PivotTable4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Student_Marks!$B$9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Student_Marks!$A$10:$A$15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Student_Marks!$B$10:$B$15</c:f>
              <c:numCache>
                <c:formatCode>General</c:formatCode>
                <c:ptCount val="5"/>
                <c:pt idx="0">
                  <c:v>72</c:v>
                </c:pt>
                <c:pt idx="1">
                  <c:v>94</c:v>
                </c:pt>
                <c:pt idx="2">
                  <c:v>85</c:v>
                </c:pt>
                <c:pt idx="3">
                  <c:v>90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2-4A4F-85B9-A5E55F3A5A9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34938824"/>
        <c:axId val="411839560"/>
      </c:barChart>
      <c:catAx>
        <c:axId val="334938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839560"/>
        <c:crosses val="autoZero"/>
        <c:auto val="1"/>
        <c:lblAlgn val="ctr"/>
        <c:lblOffset val="100"/>
        <c:noMultiLvlLbl val="0"/>
      </c:catAx>
      <c:valAx>
        <c:axId val="411839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938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125</xdr:row>
      <xdr:rowOff>19050</xdr:rowOff>
    </xdr:from>
    <xdr:to>
      <xdr:col>5</xdr:col>
      <xdr:colOff>552450</xdr:colOff>
      <xdr:row>132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136</xdr:row>
      <xdr:rowOff>161925</xdr:rowOff>
    </xdr:from>
    <xdr:to>
      <xdr:col>6</xdr:col>
      <xdr:colOff>266700</xdr:colOff>
      <xdr:row>144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66" refreshedDate="46216.531405324073" createdVersion="8" refreshedVersion="8" minRefreshableVersion="3" recordCount="6" xr:uid="{00000000-000A-0000-FFFF-FFFF03000000}">
  <cacheSource type="worksheet">
    <worksheetSource ref="A1:I7" sheet="Sales_Data"/>
  </cacheSource>
  <cacheFields count="9">
    <cacheField name="Order_ID" numFmtId="0">
      <sharedItems containsSemiMixedTypes="0" containsString="0" containsNumber="1" containsInteger="1" minValue="301" maxValue="306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00" maxValue="45000"/>
    </cacheField>
    <cacheField name="Sales_Date" numFmtId="0">
      <sharedItems/>
    </cacheField>
    <cacheField name="total" numFmtId="0">
      <sharedItems containsSemiMixedTypes="0" containsString="0" containsNumber="1" containsInteger="1" minValue="45000" maxValue="90000"/>
    </cacheField>
    <cacheField name="gst amount" numFmtId="0">
      <sharedItems containsSemiMixedTypes="0" containsString="0" containsNumber="1" containsInteger="1" minValue="12" maxValue="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LLO" refreshedDate="46217.354082638885" createdVersion="5" refreshedVersion="5" minRefreshableVersion="3" recordCount="5" xr:uid="{00000000-000A-0000-FFFF-FFFF06000000}">
  <cacheSource type="worksheet">
    <worksheetSource ref="A1:F6" sheet="Student_Marks"/>
  </cacheSource>
  <cacheFields count="6">
    <cacheField name="Student_ID" numFmtId="0">
      <sharedItems containsSemiMixedTypes="0" containsString="0" containsNumber="1" containsInteger="1" minValue="1" maxValue="5"/>
    </cacheField>
    <cacheField name="Name" numFmtId="0">
      <sharedItems count="5">
        <s v="Rahul"/>
        <s v="Sneha"/>
        <s v="Arjun"/>
        <s v="Pooja"/>
        <s v="Vikas"/>
      </sharedItems>
    </cacheField>
    <cacheField name="Maths" numFmtId="0">
      <sharedItems containsSemiMixedTypes="0" containsString="0" containsNumber="1" containsInteger="1" minValue="55" maxValue="92"/>
    </cacheField>
    <cacheField name="Statistics" numFmtId="0">
      <sharedItems containsSemiMixedTypes="0" containsString="0" containsNumber="1" containsInteger="1" minValue="60" maxValue="91"/>
    </cacheField>
    <cacheField name="Excel" numFmtId="0">
      <sharedItems containsSemiMixedTypes="0" containsString="0" containsNumber="1" containsInteger="1" minValue="58" maxValue="94"/>
    </cacheField>
    <cacheField name="Attendance_%" numFmtId="0">
      <sharedItems containsSemiMixedTypes="0" containsString="0" containsNumber="1" containsInteger="1" minValue="80" maxValue="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n v="301"/>
    <x v="0"/>
    <s v="Amit"/>
    <x v="0"/>
    <n v="2"/>
    <n v="45000"/>
    <s v="05-01-2025"/>
    <n v="90000"/>
    <n v="18"/>
  </r>
  <r>
    <n v="302"/>
    <x v="1"/>
    <s v="Riya"/>
    <x v="1"/>
    <n v="5"/>
    <n v="15000"/>
    <s v="07-01-2025"/>
    <n v="75000"/>
    <n v="12"/>
  </r>
  <r>
    <n v="303"/>
    <x v="2"/>
    <s v="Kunal"/>
    <x v="2"/>
    <n v="3"/>
    <n v="18000"/>
    <s v="10-01-2025"/>
    <n v="54000"/>
    <n v="12"/>
  </r>
  <r>
    <n v="304"/>
    <x v="3"/>
    <s v="Neha"/>
    <x v="0"/>
    <n v="1"/>
    <n v="45000"/>
    <s v="12-01-2025"/>
    <n v="45000"/>
    <n v="18"/>
  </r>
  <r>
    <n v="305"/>
    <x v="0"/>
    <s v="Amit"/>
    <x v="1"/>
    <n v="4"/>
    <n v="15000"/>
    <s v="15-01-2025"/>
    <n v="60000"/>
    <n v="12"/>
  </r>
  <r>
    <n v="306"/>
    <x v="1"/>
    <s v="Riya"/>
    <x v="0"/>
    <n v="2"/>
    <n v="45000"/>
    <s v="18-01-2025"/>
    <n v="90000"/>
    <n v="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">
  <r>
    <n v="1"/>
    <x v="0"/>
    <n v="78"/>
    <n v="82"/>
    <n v="85"/>
    <n v="92"/>
  </r>
  <r>
    <n v="2"/>
    <x v="1"/>
    <n v="88"/>
    <n v="91"/>
    <n v="90"/>
    <n v="96"/>
  </r>
  <r>
    <n v="3"/>
    <x v="2"/>
    <n v="65"/>
    <n v="70"/>
    <n v="72"/>
    <n v="85"/>
  </r>
  <r>
    <n v="4"/>
    <x v="3"/>
    <n v="92"/>
    <n v="89"/>
    <n v="94"/>
    <n v="98"/>
  </r>
  <r>
    <n v="5"/>
    <x v="4"/>
    <n v="55"/>
    <n v="60"/>
    <n v="58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L2:M6" firstHeaderRow="1" firstDataRow="1" firstDataCol="1"/>
  <pivotFields count="9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7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PivotTable4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9:B15" firstHeaderRow="1" firstDataRow="1" firstDataCol="1"/>
  <pivotFields count="6"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xcel" fld="4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109:C113" firstHeaderRow="1" firstDataRow="1" firstDataCol="1"/>
  <pivotFields count="9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B116:C121" firstHeaderRow="1" firstDataRow="1" firstDataCol="1"/>
  <pivotFields count="9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C191:E197" totalsRowShown="0">
  <autoFilter ref="C191:E197" xr:uid="{00000000-0009-0000-0100-000003000000}">
    <filterColumn colId="1">
      <filters>
        <filter val="Laptop"/>
      </filters>
    </filterColumn>
    <filterColumn colId="2">
      <filters>
        <filter val="1"/>
      </filters>
    </filterColumn>
  </autoFilter>
  <tableColumns count="3">
    <tableColumn id="1" xr3:uid="{00000000-0010-0000-0000-000001000000}" name="Salesperson"/>
    <tableColumn id="2" xr3:uid="{00000000-0010-0000-0000-000002000000}" name="Product"/>
    <tableColumn id="3" xr3:uid="{00000000-0010-0000-0000-000003000000}" name="Quant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5" x14ac:dyDescent="0.25"/>
  <sheetData>
    <row r="1" spans="1:1" x14ac:dyDescent="0.25">
      <c r="A1" t="s">
        <v>71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workbookViewId="0">
      <pane ySplit="1" topLeftCell="A2" activePane="bottomLeft" state="frozen"/>
      <selection pane="bottomLeft" sqref="A1:G7"/>
    </sheetView>
  </sheetViews>
  <sheetFormatPr defaultRowHeight="15" x14ac:dyDescent="0.25"/>
  <cols>
    <col min="7" max="7" width="10.7109375" bestFit="1" customWidth="1"/>
    <col min="9" max="9" width="10.85546875" bestFit="1" customWidth="1"/>
    <col min="12" max="12" width="13.140625" bestFit="1" customWidth="1"/>
    <col min="13" max="13" width="11.7109375" bestFit="1" customWidth="1"/>
  </cols>
  <sheetData>
    <row r="1" spans="1:13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73</v>
      </c>
      <c r="I1" t="s">
        <v>76</v>
      </c>
    </row>
    <row r="2" spans="1:13" x14ac:dyDescent="0.2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  <c r="H2" cm="1">
        <f t="array" ref="H2:H7">E2:E7*F2:F7</f>
        <v>90000</v>
      </c>
      <c r="I2">
        <f>VLOOKUP(D2,Product_Master!$A$2:$C$4,3,FALSE*H2)</f>
        <v>18</v>
      </c>
      <c r="L2" s="3" t="s">
        <v>80</v>
      </c>
      <c r="M2" t="s">
        <v>82</v>
      </c>
    </row>
    <row r="3" spans="1:13" x14ac:dyDescent="0.2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  <c r="H3">
        <v>75000</v>
      </c>
      <c r="I3">
        <f>VLOOKUP(D3,Product_Master!$A$2:$C$4,3,FALSE*H3)</f>
        <v>12</v>
      </c>
      <c r="L3" s="4" t="s">
        <v>13</v>
      </c>
      <c r="M3">
        <v>225000</v>
      </c>
    </row>
    <row r="4" spans="1:13" x14ac:dyDescent="0.2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  <c r="H4">
        <v>54000</v>
      </c>
      <c r="I4">
        <f>VLOOKUP(D4,Product_Master!$A$2:$C$4,3,FALSE*H4)</f>
        <v>12</v>
      </c>
      <c r="L4" s="4" t="s">
        <v>17</v>
      </c>
      <c r="M4">
        <v>135000</v>
      </c>
    </row>
    <row r="5" spans="1:13" x14ac:dyDescent="0.2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  <c r="H5">
        <v>45000</v>
      </c>
      <c r="I5">
        <f>VLOOKUP(D5,Product_Master!$A$2:$C$4,3,FALSE*H5)</f>
        <v>18</v>
      </c>
      <c r="L5" s="4" t="s">
        <v>21</v>
      </c>
      <c r="M5">
        <v>54000</v>
      </c>
    </row>
    <row r="6" spans="1:13" x14ac:dyDescent="0.2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  <c r="H6">
        <v>60000</v>
      </c>
      <c r="I6">
        <f>VLOOKUP(D6,Product_Master!$A$2:$C$4,3,FALSE*H6)</f>
        <v>12</v>
      </c>
      <c r="L6" s="4" t="s">
        <v>81</v>
      </c>
      <c r="M6">
        <v>414000</v>
      </c>
    </row>
    <row r="7" spans="1:13" x14ac:dyDescent="0.2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  <c r="H7">
        <v>90000</v>
      </c>
      <c r="I7">
        <f>VLOOKUP(D7,Product_Master!$A$2:$C$4,3,FALSE*H7)</f>
        <v>18</v>
      </c>
    </row>
    <row r="15" spans="1:13" x14ac:dyDescent="0.25">
      <c r="F15">
        <f>SUM(_xlfn.ANCHORARRAY(H2))</f>
        <v>414000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E1" sqref="E1"/>
    </sheetView>
  </sheetViews>
  <sheetFormatPr defaultRowHeight="15" x14ac:dyDescent="0.25"/>
  <cols>
    <col min="2" max="2" width="10.5703125" bestFit="1" customWidth="1"/>
    <col min="3" max="3" width="8.140625" bestFit="1" customWidth="1"/>
  </cols>
  <sheetData>
    <row r="1" spans="1:4" x14ac:dyDescent="0.25">
      <c r="A1" t="s">
        <v>7</v>
      </c>
      <c r="B1" t="s">
        <v>28</v>
      </c>
      <c r="C1" t="s">
        <v>29</v>
      </c>
      <c r="D1" t="s">
        <v>29</v>
      </c>
    </row>
    <row r="2" spans="1:4" x14ac:dyDescent="0.25">
      <c r="A2" t="s">
        <v>13</v>
      </c>
      <c r="B2" t="s">
        <v>30</v>
      </c>
      <c r="C2" s="1">
        <v>18</v>
      </c>
      <c r="D2" s="9">
        <f>C2/100</f>
        <v>0.18</v>
      </c>
    </row>
    <row r="3" spans="1:4" x14ac:dyDescent="0.25">
      <c r="A3" t="s">
        <v>17</v>
      </c>
      <c r="B3" t="s">
        <v>30</v>
      </c>
      <c r="C3" s="1">
        <v>12</v>
      </c>
      <c r="D3" s="9">
        <f t="shared" ref="D3:D4" si="0">C3/100</f>
        <v>0.12</v>
      </c>
    </row>
    <row r="4" spans="1:4" x14ac:dyDescent="0.25">
      <c r="A4" t="s">
        <v>21</v>
      </c>
      <c r="B4" t="s">
        <v>30</v>
      </c>
      <c r="C4" s="1">
        <v>12</v>
      </c>
      <c r="D4" s="9">
        <f t="shared" si="0"/>
        <v>0.12</v>
      </c>
    </row>
    <row r="6" spans="1:4" x14ac:dyDescent="0.25">
      <c r="C6">
        <f>SUM(C2:C4)</f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workbookViewId="0">
      <selection sqref="A1:B6"/>
    </sheetView>
  </sheetViews>
  <sheetFormatPr defaultRowHeight="15" x14ac:dyDescent="0.25"/>
  <cols>
    <col min="1" max="1" width="13.140625" bestFit="1" customWidth="1"/>
    <col min="2" max="2" width="12.140625" bestFit="1" customWidth="1"/>
    <col min="6" max="6" width="14" bestFit="1" customWidth="1"/>
  </cols>
  <sheetData>
    <row r="1" spans="1:10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10" x14ac:dyDescent="0.25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  <c r="H2" s="1" cm="1">
        <f t="array" ref="H2:J2">((C2:E2)/300)*100</f>
        <v>26</v>
      </c>
      <c r="I2">
        <v>27.333333333333332</v>
      </c>
      <c r="J2">
        <v>28.333333333333332</v>
      </c>
    </row>
    <row r="3" spans="1:10" x14ac:dyDescent="0.25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  <c r="H3" s="1" cm="1">
        <f t="array" ref="H3:J3">((C3:E3)/300)*100</f>
        <v>29.333333333333332</v>
      </c>
      <c r="I3">
        <v>30.333333333333336</v>
      </c>
      <c r="J3">
        <v>30</v>
      </c>
    </row>
    <row r="4" spans="1:10" x14ac:dyDescent="0.25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  <c r="H4" s="1" cm="1">
        <f t="array" ref="H4:J4">((C4:E4)/300)*100</f>
        <v>21.666666666666668</v>
      </c>
      <c r="I4">
        <v>23.333333333333332</v>
      </c>
      <c r="J4">
        <v>24</v>
      </c>
    </row>
    <row r="5" spans="1:10" x14ac:dyDescent="0.25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  <c r="H5" s="1" cm="1">
        <f t="array" ref="H5:J5">((C5:E5)/300)*100</f>
        <v>30.666666666666664</v>
      </c>
      <c r="I5">
        <v>29.666666666666668</v>
      </c>
      <c r="J5">
        <v>31.333333333333336</v>
      </c>
    </row>
    <row r="6" spans="1:10" x14ac:dyDescent="0.25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  <c r="H6" s="1" cm="1">
        <f t="array" ref="H6:J6">((C6:E6)/300)*100</f>
        <v>18.333333333333332</v>
      </c>
      <c r="I6">
        <v>20</v>
      </c>
      <c r="J6">
        <v>19.333333333333332</v>
      </c>
    </row>
    <row r="7" spans="1:10" x14ac:dyDescent="0.25">
      <c r="H7" s="1"/>
    </row>
    <row r="9" spans="1:10" x14ac:dyDescent="0.25">
      <c r="A9" s="3" t="s">
        <v>80</v>
      </c>
      <c r="B9" t="s">
        <v>83</v>
      </c>
    </row>
    <row r="10" spans="1:10" x14ac:dyDescent="0.25">
      <c r="A10" s="4" t="s">
        <v>39</v>
      </c>
      <c r="B10">
        <v>72</v>
      </c>
    </row>
    <row r="11" spans="1:10" x14ac:dyDescent="0.25">
      <c r="A11" s="4" t="s">
        <v>40</v>
      </c>
      <c r="B11">
        <v>94</v>
      </c>
    </row>
    <row r="12" spans="1:10" x14ac:dyDescent="0.25">
      <c r="A12" s="4" t="s">
        <v>37</v>
      </c>
      <c r="B12">
        <v>85</v>
      </c>
    </row>
    <row r="13" spans="1:10" x14ac:dyDescent="0.25">
      <c r="A13" s="4" t="s">
        <v>38</v>
      </c>
      <c r="B13">
        <v>90</v>
      </c>
    </row>
    <row r="14" spans="1:10" x14ac:dyDescent="0.25">
      <c r="A14" s="4" t="s">
        <v>41</v>
      </c>
      <c r="B14">
        <v>58</v>
      </c>
    </row>
    <row r="15" spans="1:10" x14ac:dyDescent="0.25">
      <c r="A15" s="4" t="s">
        <v>81</v>
      </c>
      <c r="B15">
        <v>399</v>
      </c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40"/>
  <sheetViews>
    <sheetView tabSelected="1" topLeftCell="A52" workbookViewId="0">
      <selection activeCell="M68" sqref="M68"/>
    </sheetView>
  </sheetViews>
  <sheetFormatPr defaultRowHeight="15" x14ac:dyDescent="0.25"/>
  <cols>
    <col min="2" max="2" width="13.140625" bestFit="1" customWidth="1"/>
    <col min="3" max="3" width="13.85546875" customWidth="1"/>
    <col min="4" max="4" width="12" bestFit="1" customWidth="1"/>
    <col min="5" max="5" width="10.85546875" customWidth="1"/>
    <col min="7" max="7" width="12" bestFit="1" customWidth="1"/>
    <col min="8" max="9" width="10.7109375" bestFit="1" customWidth="1"/>
    <col min="11" max="12" width="10.85546875" bestFit="1" customWidth="1"/>
  </cols>
  <sheetData>
    <row r="1" spans="1:12" x14ac:dyDescent="0.25">
      <c r="B1" t="s">
        <v>42</v>
      </c>
      <c r="L1">
        <v>2</v>
      </c>
    </row>
    <row r="2" spans="1:12" x14ac:dyDescent="0.25">
      <c r="A2" t="s">
        <v>72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88</v>
      </c>
    </row>
    <row r="3" spans="1:12" x14ac:dyDescent="0.25">
      <c r="B3">
        <v>301</v>
      </c>
      <c r="C3" t="s">
        <v>11</v>
      </c>
      <c r="D3" t="s">
        <v>12</v>
      </c>
      <c r="E3" t="s">
        <v>13</v>
      </c>
      <c r="F3">
        <v>2</v>
      </c>
      <c r="G3">
        <v>45000</v>
      </c>
      <c r="H3" t="s">
        <v>14</v>
      </c>
      <c r="I3">
        <f>F3*G3</f>
        <v>90000</v>
      </c>
    </row>
    <row r="4" spans="1:12" x14ac:dyDescent="0.25">
      <c r="B4">
        <v>302</v>
      </c>
      <c r="C4" t="s">
        <v>15</v>
      </c>
      <c r="D4" t="s">
        <v>16</v>
      </c>
      <c r="E4" t="s">
        <v>17</v>
      </c>
      <c r="F4">
        <v>5</v>
      </c>
      <c r="G4">
        <v>15000</v>
      </c>
      <c r="H4" t="s">
        <v>18</v>
      </c>
      <c r="I4">
        <f t="shared" ref="I4:I8" si="0">F4*G4</f>
        <v>75000</v>
      </c>
    </row>
    <row r="5" spans="1:12" x14ac:dyDescent="0.25">
      <c r="B5">
        <v>303</v>
      </c>
      <c r="C5" t="s">
        <v>19</v>
      </c>
      <c r="D5" t="s">
        <v>20</v>
      </c>
      <c r="E5" t="s">
        <v>21</v>
      </c>
      <c r="F5">
        <v>3</v>
      </c>
      <c r="G5">
        <v>18000</v>
      </c>
      <c r="H5" t="s">
        <v>22</v>
      </c>
      <c r="I5">
        <f t="shared" si="0"/>
        <v>54000</v>
      </c>
    </row>
    <row r="6" spans="1:12" x14ac:dyDescent="0.25">
      <c r="B6">
        <v>304</v>
      </c>
      <c r="C6" t="s">
        <v>23</v>
      </c>
      <c r="D6" t="s">
        <v>24</v>
      </c>
      <c r="E6" t="s">
        <v>13</v>
      </c>
      <c r="F6">
        <v>1</v>
      </c>
      <c r="G6">
        <v>45000</v>
      </c>
      <c r="H6" t="s">
        <v>25</v>
      </c>
      <c r="I6">
        <f t="shared" si="0"/>
        <v>45000</v>
      </c>
    </row>
    <row r="7" spans="1:12" x14ac:dyDescent="0.25">
      <c r="B7">
        <v>305</v>
      </c>
      <c r="C7" t="s">
        <v>11</v>
      </c>
      <c r="D7" t="s">
        <v>12</v>
      </c>
      <c r="E7" t="s">
        <v>17</v>
      </c>
      <c r="F7">
        <v>4</v>
      </c>
      <c r="G7">
        <v>15000</v>
      </c>
      <c r="H7" t="s">
        <v>26</v>
      </c>
      <c r="I7">
        <f t="shared" si="0"/>
        <v>60000</v>
      </c>
    </row>
    <row r="8" spans="1:12" x14ac:dyDescent="0.25">
      <c r="B8">
        <v>306</v>
      </c>
      <c r="C8" t="s">
        <v>15</v>
      </c>
      <c r="D8" t="s">
        <v>16</v>
      </c>
      <c r="E8" t="s">
        <v>13</v>
      </c>
      <c r="F8">
        <v>2</v>
      </c>
      <c r="G8">
        <v>45000</v>
      </c>
      <c r="H8" t="s">
        <v>27</v>
      </c>
      <c r="I8">
        <f t="shared" si="0"/>
        <v>90000</v>
      </c>
    </row>
    <row r="9" spans="1:12" x14ac:dyDescent="0.25">
      <c r="B9" t="s">
        <v>43</v>
      </c>
      <c r="L9">
        <v>2</v>
      </c>
    </row>
    <row r="10" spans="1:12" x14ac:dyDescent="0.25">
      <c r="A10" t="s">
        <v>72</v>
      </c>
      <c r="B10" t="s">
        <v>4</v>
      </c>
      <c r="C10" t="s">
        <v>5</v>
      </c>
      <c r="D10" t="s">
        <v>6</v>
      </c>
      <c r="E10" t="s">
        <v>7</v>
      </c>
      <c r="F10" t="s">
        <v>8</v>
      </c>
      <c r="G10" t="s">
        <v>9</v>
      </c>
      <c r="H10" t="s">
        <v>10</v>
      </c>
      <c r="I10" t="s">
        <v>89</v>
      </c>
    </row>
    <row r="11" spans="1:12" x14ac:dyDescent="0.25">
      <c r="B11">
        <v>301</v>
      </c>
      <c r="C11" t="s">
        <v>11</v>
      </c>
      <c r="D11" t="s">
        <v>12</v>
      </c>
      <c r="E11" t="s">
        <v>13</v>
      </c>
      <c r="F11">
        <v>2</v>
      </c>
      <c r="G11">
        <v>45000</v>
      </c>
      <c r="H11" t="s">
        <v>14</v>
      </c>
      <c r="I11" s="9">
        <f>VLOOKUP(E11,Product_Master!$A$1:$D$4,4,FALSE)</f>
        <v>0.18</v>
      </c>
    </row>
    <row r="12" spans="1:12" x14ac:dyDescent="0.25">
      <c r="B12">
        <v>302</v>
      </c>
      <c r="C12" t="s">
        <v>15</v>
      </c>
      <c r="D12" t="s">
        <v>16</v>
      </c>
      <c r="E12" t="s">
        <v>17</v>
      </c>
      <c r="F12">
        <v>5</v>
      </c>
      <c r="G12">
        <v>15000</v>
      </c>
      <c r="H12" t="s">
        <v>18</v>
      </c>
      <c r="I12" s="9">
        <f>VLOOKUP(E12,Product_Master!$A$1:$D$4,4,FALSE)</f>
        <v>0.12</v>
      </c>
    </row>
    <row r="13" spans="1:12" x14ac:dyDescent="0.25">
      <c r="B13">
        <v>303</v>
      </c>
      <c r="C13" t="s">
        <v>19</v>
      </c>
      <c r="D13" t="s">
        <v>20</v>
      </c>
      <c r="E13" t="s">
        <v>21</v>
      </c>
      <c r="F13">
        <v>3</v>
      </c>
      <c r="G13">
        <v>18000</v>
      </c>
      <c r="H13" t="s">
        <v>22</v>
      </c>
      <c r="I13" s="9">
        <f>VLOOKUP(E13,Product_Master!$A$1:$D$4,4,FALSE)</f>
        <v>0.12</v>
      </c>
    </row>
    <row r="14" spans="1:12" x14ac:dyDescent="0.25">
      <c r="B14">
        <v>304</v>
      </c>
      <c r="C14" t="s">
        <v>23</v>
      </c>
      <c r="D14" t="s">
        <v>24</v>
      </c>
      <c r="E14" t="s">
        <v>13</v>
      </c>
      <c r="F14">
        <v>1</v>
      </c>
      <c r="G14">
        <v>45000</v>
      </c>
      <c r="H14" t="s">
        <v>25</v>
      </c>
      <c r="I14" s="9">
        <f>VLOOKUP(E14,Product_Master!$A$1:$D$4,4,FALSE)</f>
        <v>0.18</v>
      </c>
    </row>
    <row r="15" spans="1:12" x14ac:dyDescent="0.25">
      <c r="B15">
        <v>305</v>
      </c>
      <c r="C15" t="s">
        <v>11</v>
      </c>
      <c r="D15" t="s">
        <v>12</v>
      </c>
      <c r="E15" t="s">
        <v>17</v>
      </c>
      <c r="F15">
        <v>4</v>
      </c>
      <c r="G15">
        <v>15000</v>
      </c>
      <c r="H15" t="s">
        <v>26</v>
      </c>
      <c r="I15" s="9">
        <f>VLOOKUP(E15,Product_Master!$A$1:$D$4,4,FALSE)</f>
        <v>0.12</v>
      </c>
    </row>
    <row r="16" spans="1:12" x14ac:dyDescent="0.25">
      <c r="B16">
        <v>306</v>
      </c>
      <c r="C16" t="s">
        <v>15</v>
      </c>
      <c r="D16" t="s">
        <v>16</v>
      </c>
      <c r="E16" t="s">
        <v>13</v>
      </c>
      <c r="F16">
        <v>2</v>
      </c>
      <c r="G16">
        <v>45000</v>
      </c>
      <c r="H16" t="s">
        <v>27</v>
      </c>
      <c r="I16" s="9">
        <f>VLOOKUP(E16,Product_Master!$A$1:$D$4,4,FALSE)</f>
        <v>0.18</v>
      </c>
    </row>
    <row r="19" spans="1:12" x14ac:dyDescent="0.25">
      <c r="B19" t="s">
        <v>44</v>
      </c>
      <c r="L19">
        <v>2</v>
      </c>
    </row>
    <row r="20" spans="1:12" x14ac:dyDescent="0.25">
      <c r="A20" t="s">
        <v>72</v>
      </c>
      <c r="B20" t="s">
        <v>4</v>
      </c>
      <c r="C20" t="s">
        <v>5</v>
      </c>
      <c r="D20" t="s">
        <v>6</v>
      </c>
      <c r="E20" t="s">
        <v>7</v>
      </c>
      <c r="F20" t="s">
        <v>8</v>
      </c>
      <c r="G20" t="s">
        <v>9</v>
      </c>
      <c r="H20" t="s">
        <v>10</v>
      </c>
      <c r="I20" t="s">
        <v>88</v>
      </c>
      <c r="J20" s="9" t="s">
        <v>89</v>
      </c>
      <c r="K20" t="s">
        <v>72</v>
      </c>
    </row>
    <row r="21" spans="1:12" x14ac:dyDescent="0.25">
      <c r="B21">
        <v>301</v>
      </c>
      <c r="C21" t="s">
        <v>11</v>
      </c>
      <c r="D21" t="s">
        <v>12</v>
      </c>
      <c r="E21" t="s">
        <v>13</v>
      </c>
      <c r="F21">
        <v>2</v>
      </c>
      <c r="G21">
        <v>45000</v>
      </c>
      <c r="H21" t="s">
        <v>14</v>
      </c>
      <c r="I21">
        <v>90000</v>
      </c>
      <c r="J21" s="9">
        <v>0.18</v>
      </c>
      <c r="K21" s="10">
        <f>I21*J21</f>
        <v>16200</v>
      </c>
    </row>
    <row r="22" spans="1:12" x14ac:dyDescent="0.25">
      <c r="B22">
        <v>302</v>
      </c>
      <c r="C22" t="s">
        <v>15</v>
      </c>
      <c r="D22" t="s">
        <v>16</v>
      </c>
      <c r="E22" t="s">
        <v>17</v>
      </c>
      <c r="F22">
        <v>5</v>
      </c>
      <c r="G22">
        <v>15000</v>
      </c>
      <c r="H22" t="s">
        <v>18</v>
      </c>
      <c r="I22">
        <v>75000</v>
      </c>
      <c r="J22" s="9">
        <v>0.12</v>
      </c>
      <c r="K22" s="10">
        <f t="shared" ref="K22:K26" si="1">I22*J22</f>
        <v>9000</v>
      </c>
    </row>
    <row r="23" spans="1:12" x14ac:dyDescent="0.25">
      <c r="B23">
        <v>303</v>
      </c>
      <c r="C23" t="s">
        <v>19</v>
      </c>
      <c r="D23" t="s">
        <v>20</v>
      </c>
      <c r="E23" t="s">
        <v>21</v>
      </c>
      <c r="F23">
        <v>3</v>
      </c>
      <c r="G23">
        <v>18000</v>
      </c>
      <c r="H23" t="s">
        <v>22</v>
      </c>
      <c r="I23">
        <v>54000</v>
      </c>
      <c r="J23" s="9">
        <v>0.12</v>
      </c>
      <c r="K23" s="10">
        <f t="shared" si="1"/>
        <v>6480</v>
      </c>
    </row>
    <row r="24" spans="1:12" x14ac:dyDescent="0.25">
      <c r="B24">
        <v>304</v>
      </c>
      <c r="C24" t="s">
        <v>23</v>
      </c>
      <c r="D24" t="s">
        <v>24</v>
      </c>
      <c r="E24" t="s">
        <v>13</v>
      </c>
      <c r="F24">
        <v>1</v>
      </c>
      <c r="G24">
        <v>45000</v>
      </c>
      <c r="H24" t="s">
        <v>25</v>
      </c>
      <c r="I24">
        <v>45000</v>
      </c>
      <c r="J24" s="9">
        <v>0.18</v>
      </c>
      <c r="K24" s="10">
        <f t="shared" si="1"/>
        <v>8100</v>
      </c>
    </row>
    <row r="25" spans="1:12" x14ac:dyDescent="0.25">
      <c r="B25">
        <v>305</v>
      </c>
      <c r="C25" t="s">
        <v>11</v>
      </c>
      <c r="D25" t="s">
        <v>12</v>
      </c>
      <c r="E25" t="s">
        <v>17</v>
      </c>
      <c r="F25">
        <v>4</v>
      </c>
      <c r="G25">
        <v>15000</v>
      </c>
      <c r="H25" t="s">
        <v>26</v>
      </c>
      <c r="I25">
        <v>60000</v>
      </c>
      <c r="J25" s="9">
        <v>0.12</v>
      </c>
      <c r="K25" s="10">
        <f t="shared" si="1"/>
        <v>7200</v>
      </c>
    </row>
    <row r="26" spans="1:12" x14ac:dyDescent="0.25">
      <c r="B26">
        <v>306</v>
      </c>
      <c r="C26" t="s">
        <v>15</v>
      </c>
      <c r="D26" t="s">
        <v>16</v>
      </c>
      <c r="E26" t="s">
        <v>13</v>
      </c>
      <c r="F26">
        <v>2</v>
      </c>
      <c r="G26">
        <v>45000</v>
      </c>
      <c r="H26" t="s">
        <v>27</v>
      </c>
      <c r="I26">
        <v>90000</v>
      </c>
      <c r="J26" s="9">
        <v>0.18</v>
      </c>
      <c r="K26" s="10">
        <f t="shared" si="1"/>
        <v>16200</v>
      </c>
    </row>
    <row r="29" spans="1:12" x14ac:dyDescent="0.25">
      <c r="B29" t="s">
        <v>45</v>
      </c>
      <c r="L29">
        <v>2</v>
      </c>
    </row>
    <row r="30" spans="1:12" x14ac:dyDescent="0.25">
      <c r="A30" t="s">
        <v>72</v>
      </c>
      <c r="B30" t="s">
        <v>88</v>
      </c>
      <c r="C30" t="s">
        <v>92</v>
      </c>
    </row>
    <row r="31" spans="1:12" x14ac:dyDescent="0.25">
      <c r="B31">
        <v>90000</v>
      </c>
      <c r="C31">
        <f>SUM(B31:B36)</f>
        <v>414000</v>
      </c>
    </row>
    <row r="32" spans="1:12" x14ac:dyDescent="0.25">
      <c r="B32">
        <v>75000</v>
      </c>
    </row>
    <row r="33" spans="1:12" x14ac:dyDescent="0.25">
      <c r="B33">
        <v>54000</v>
      </c>
    </row>
    <row r="34" spans="1:12" x14ac:dyDescent="0.25">
      <c r="B34">
        <v>45000</v>
      </c>
    </row>
    <row r="35" spans="1:12" x14ac:dyDescent="0.25">
      <c r="B35">
        <v>60000</v>
      </c>
    </row>
    <row r="36" spans="1:12" x14ac:dyDescent="0.25">
      <c r="B36">
        <v>90000</v>
      </c>
    </row>
    <row r="38" spans="1:12" x14ac:dyDescent="0.25">
      <c r="B38" t="s">
        <v>46</v>
      </c>
      <c r="L38">
        <v>2</v>
      </c>
    </row>
    <row r="39" spans="1:12" x14ac:dyDescent="0.25">
      <c r="A39" t="s">
        <v>72</v>
      </c>
      <c r="C39">
        <f>COUNTA(Sales_Data!A2:A7)</f>
        <v>6</v>
      </c>
    </row>
    <row r="41" spans="1:12" x14ac:dyDescent="0.25">
      <c r="B41" t="s">
        <v>47</v>
      </c>
      <c r="L41">
        <v>2</v>
      </c>
    </row>
    <row r="42" spans="1:12" x14ac:dyDescent="0.25">
      <c r="A42" t="s">
        <v>72</v>
      </c>
      <c r="B42" t="s">
        <v>11</v>
      </c>
      <c r="C42" cm="1">
        <f t="array" ref="C42:C47">SUMIF(Questions!B42,Sales_Data!B2:B7,_xlfn.ANCHORARRAY(Sales_Data!H2))</f>
        <v>90000</v>
      </c>
    </row>
    <row r="43" spans="1:12" x14ac:dyDescent="0.25">
      <c r="C43">
        <v>0</v>
      </c>
    </row>
    <row r="44" spans="1:12" x14ac:dyDescent="0.25">
      <c r="C44">
        <v>0</v>
      </c>
    </row>
    <row r="45" spans="1:12" x14ac:dyDescent="0.25">
      <c r="C45">
        <v>0</v>
      </c>
    </row>
    <row r="46" spans="1:12" x14ac:dyDescent="0.25">
      <c r="C46">
        <v>90000</v>
      </c>
    </row>
    <row r="47" spans="1:12" x14ac:dyDescent="0.25">
      <c r="C47">
        <v>0</v>
      </c>
    </row>
    <row r="49" spans="1:12" x14ac:dyDescent="0.25">
      <c r="B49" t="s">
        <v>48</v>
      </c>
      <c r="L49">
        <v>2</v>
      </c>
    </row>
    <row r="50" spans="1:12" x14ac:dyDescent="0.25">
      <c r="A50" t="s">
        <v>72</v>
      </c>
      <c r="C50" t="str">
        <f>IF(Sales_Data!E2&gt;3,"high",IF(Sales_Data!E2&lt;=3,"low"))</f>
        <v>low</v>
      </c>
    </row>
    <row r="52" spans="1:12" x14ac:dyDescent="0.25">
      <c r="B52" t="s">
        <v>49</v>
      </c>
      <c r="L52">
        <v>2</v>
      </c>
    </row>
    <row r="53" spans="1:12" x14ac:dyDescent="0.25">
      <c r="A53" t="s">
        <v>72</v>
      </c>
      <c r="B53" t="s">
        <v>74</v>
      </c>
      <c r="C53">
        <f>MIN(_xlfn.ANCHORARRAY(Sales_Data!H2))</f>
        <v>45000</v>
      </c>
    </row>
    <row r="54" spans="1:12" x14ac:dyDescent="0.25">
      <c r="B54" t="s">
        <v>75</v>
      </c>
      <c r="C54">
        <f>MAX(_xlfn.ANCHORARRAY(Sales_Data!H2))</f>
        <v>90000</v>
      </c>
    </row>
    <row r="55" spans="1:12" x14ac:dyDescent="0.25">
      <c r="B55" t="s">
        <v>50</v>
      </c>
      <c r="L55">
        <v>2</v>
      </c>
    </row>
    <row r="56" spans="1:12" x14ac:dyDescent="0.25">
      <c r="A56" t="s">
        <v>72</v>
      </c>
      <c r="C56" t="str">
        <f>TEXT(Sales_Data!G2,"mmmm")</f>
        <v>January</v>
      </c>
    </row>
    <row r="58" spans="1:12" x14ac:dyDescent="0.25">
      <c r="B58" t="s">
        <v>51</v>
      </c>
      <c r="L58">
        <v>2</v>
      </c>
    </row>
    <row r="59" spans="1:12" x14ac:dyDescent="0.25">
      <c r="A59" t="s">
        <v>72</v>
      </c>
      <c r="C59" t="s">
        <v>4</v>
      </c>
      <c r="D59" t="s">
        <v>5</v>
      </c>
      <c r="E59" t="s">
        <v>6</v>
      </c>
      <c r="F59" t="s">
        <v>7</v>
      </c>
      <c r="G59" t="s">
        <v>8</v>
      </c>
      <c r="H59" t="s">
        <v>9</v>
      </c>
      <c r="I59" t="s">
        <v>10</v>
      </c>
      <c r="J59" s="6" t="s">
        <v>73</v>
      </c>
      <c r="K59" t="s">
        <v>76</v>
      </c>
    </row>
    <row r="60" spans="1:12" x14ac:dyDescent="0.25">
      <c r="C60">
        <v>301</v>
      </c>
      <c r="D60" t="s">
        <v>11</v>
      </c>
      <c r="E60" t="s">
        <v>12</v>
      </c>
      <c r="F60" t="s">
        <v>13</v>
      </c>
      <c r="G60">
        <v>2</v>
      </c>
      <c r="H60">
        <v>45000</v>
      </c>
      <c r="I60" t="s">
        <v>14</v>
      </c>
      <c r="J60" s="6">
        <v>90000</v>
      </c>
      <c r="K60">
        <v>18</v>
      </c>
    </row>
    <row r="61" spans="1:12" x14ac:dyDescent="0.25">
      <c r="C61">
        <v>306</v>
      </c>
      <c r="D61" t="s">
        <v>15</v>
      </c>
      <c r="E61" t="s">
        <v>16</v>
      </c>
      <c r="F61" t="s">
        <v>13</v>
      </c>
      <c r="G61">
        <v>2</v>
      </c>
      <c r="H61">
        <v>45000</v>
      </c>
      <c r="I61" t="s">
        <v>27</v>
      </c>
      <c r="J61" s="6">
        <v>90000</v>
      </c>
      <c r="K61">
        <v>18</v>
      </c>
    </row>
    <row r="62" spans="1:12" x14ac:dyDescent="0.25">
      <c r="C62">
        <v>302</v>
      </c>
      <c r="D62" t="s">
        <v>15</v>
      </c>
      <c r="E62" t="s">
        <v>16</v>
      </c>
      <c r="F62" t="s">
        <v>17</v>
      </c>
      <c r="G62">
        <v>5</v>
      </c>
      <c r="H62">
        <v>15000</v>
      </c>
      <c r="I62" t="s">
        <v>18</v>
      </c>
      <c r="J62" s="6">
        <v>75000</v>
      </c>
      <c r="K62">
        <v>12</v>
      </c>
    </row>
    <row r="63" spans="1:12" x14ac:dyDescent="0.25">
      <c r="C63">
        <v>305</v>
      </c>
      <c r="D63" t="s">
        <v>11</v>
      </c>
      <c r="E63" t="s">
        <v>12</v>
      </c>
      <c r="F63" t="s">
        <v>17</v>
      </c>
      <c r="G63">
        <v>4</v>
      </c>
      <c r="H63">
        <v>15000</v>
      </c>
      <c r="I63" t="s">
        <v>26</v>
      </c>
      <c r="J63" s="6">
        <v>60000</v>
      </c>
      <c r="K63">
        <v>12</v>
      </c>
    </row>
    <row r="64" spans="1:12" x14ac:dyDescent="0.25">
      <c r="C64">
        <v>303</v>
      </c>
      <c r="D64" t="s">
        <v>19</v>
      </c>
      <c r="E64" t="s">
        <v>20</v>
      </c>
      <c r="F64" t="s">
        <v>21</v>
      </c>
      <c r="G64">
        <v>3</v>
      </c>
      <c r="H64">
        <v>18000</v>
      </c>
      <c r="I64" t="s">
        <v>22</v>
      </c>
      <c r="J64" s="6">
        <v>54000</v>
      </c>
      <c r="K64">
        <v>12</v>
      </c>
    </row>
    <row r="65" spans="1:12" x14ac:dyDescent="0.25">
      <c r="C65">
        <v>304</v>
      </c>
      <c r="D65" t="s">
        <v>23</v>
      </c>
      <c r="E65" t="s">
        <v>24</v>
      </c>
      <c r="F65" t="s">
        <v>13</v>
      </c>
      <c r="G65">
        <v>1</v>
      </c>
      <c r="H65">
        <v>45000</v>
      </c>
      <c r="I65" t="s">
        <v>25</v>
      </c>
      <c r="J65" s="6">
        <v>45000</v>
      </c>
      <c r="K65">
        <v>18</v>
      </c>
    </row>
    <row r="68" spans="1:12" x14ac:dyDescent="0.25">
      <c r="B68" t="s">
        <v>52</v>
      </c>
      <c r="L68">
        <v>2</v>
      </c>
    </row>
    <row r="69" spans="1:12" x14ac:dyDescent="0.25">
      <c r="A69" t="s">
        <v>72</v>
      </c>
      <c r="C69" t="s">
        <v>7</v>
      </c>
      <c r="D69" t="s">
        <v>77</v>
      </c>
    </row>
    <row r="70" spans="1:12" x14ac:dyDescent="0.25">
      <c r="C70" t="s">
        <v>13</v>
      </c>
      <c r="D70" t="str">
        <f>INDEX(Product_Master!B2:B4,MATCH(Questions!C70,Product_Master!A2:A4,0))</f>
        <v>Electronics</v>
      </c>
    </row>
    <row r="71" spans="1:12" x14ac:dyDescent="0.25">
      <c r="C71" t="s">
        <v>17</v>
      </c>
      <c r="D71" t="str">
        <f>INDEX(Product_Master!B3:B5,MATCH(Questions!C71,Product_Master!A3:A5,0))</f>
        <v>Electronics</v>
      </c>
    </row>
    <row r="72" spans="1:12" x14ac:dyDescent="0.25">
      <c r="C72" t="s">
        <v>21</v>
      </c>
      <c r="D72" t="str">
        <f>INDEX(Product_Master!B4:B6,MATCH(Questions!C72,Product_Master!A4:A6,0))</f>
        <v>Electronics</v>
      </c>
    </row>
    <row r="74" spans="1:12" x14ac:dyDescent="0.25">
      <c r="B74" t="s">
        <v>53</v>
      </c>
      <c r="L74">
        <v>2</v>
      </c>
    </row>
    <row r="75" spans="1:12" x14ac:dyDescent="0.25">
      <c r="A75" t="s">
        <v>72</v>
      </c>
      <c r="C75" t="s">
        <v>32</v>
      </c>
      <c r="D75" t="s">
        <v>33</v>
      </c>
      <c r="E75" t="s">
        <v>34</v>
      </c>
      <c r="F75" t="s">
        <v>35</v>
      </c>
      <c r="G75" s="6" t="s">
        <v>78</v>
      </c>
    </row>
    <row r="76" spans="1:12" x14ac:dyDescent="0.25">
      <c r="C76" t="s">
        <v>37</v>
      </c>
      <c r="D76">
        <v>78</v>
      </c>
      <c r="E76">
        <v>82</v>
      </c>
      <c r="F76">
        <v>85</v>
      </c>
      <c r="G76" s="7">
        <f>AVERAGE(D76:F76)</f>
        <v>81.666666666666671</v>
      </c>
    </row>
    <row r="77" spans="1:12" x14ac:dyDescent="0.25">
      <c r="C77" t="s">
        <v>38</v>
      </c>
      <c r="D77">
        <v>88</v>
      </c>
      <c r="E77">
        <v>91</v>
      </c>
      <c r="F77">
        <v>90</v>
      </c>
      <c r="G77" s="7">
        <f>AVERAGE(D77:F77)</f>
        <v>89.666666666666671</v>
      </c>
    </row>
    <row r="78" spans="1:12" x14ac:dyDescent="0.25">
      <c r="C78" t="s">
        <v>39</v>
      </c>
      <c r="D78">
        <v>65</v>
      </c>
      <c r="E78">
        <v>70</v>
      </c>
      <c r="F78">
        <v>72</v>
      </c>
      <c r="G78" s="7">
        <f>AVERAGE(D78:F78)</f>
        <v>69</v>
      </c>
    </row>
    <row r="79" spans="1:12" x14ac:dyDescent="0.25">
      <c r="C79" t="s">
        <v>40</v>
      </c>
      <c r="D79">
        <v>92</v>
      </c>
      <c r="E79">
        <v>89</v>
      </c>
      <c r="F79">
        <v>94</v>
      </c>
      <c r="G79" s="7">
        <f>AVERAGE(D79:F79)</f>
        <v>91.666666666666671</v>
      </c>
    </row>
    <row r="80" spans="1:12" x14ac:dyDescent="0.25">
      <c r="C80" t="s">
        <v>41</v>
      </c>
      <c r="D80">
        <v>55</v>
      </c>
      <c r="E80">
        <v>60</v>
      </c>
      <c r="F80">
        <v>58</v>
      </c>
      <c r="G80" s="7">
        <f t="shared" ref="G80" si="2">AVERAGE(D80:F80)</f>
        <v>57.666666666666664</v>
      </c>
    </row>
    <row r="82" spans="1:12" x14ac:dyDescent="0.25">
      <c r="B82" t="s">
        <v>54</v>
      </c>
      <c r="L82">
        <v>2</v>
      </c>
    </row>
    <row r="83" spans="1:12" x14ac:dyDescent="0.25">
      <c r="A83" t="s">
        <v>72</v>
      </c>
      <c r="C83" t="s">
        <v>32</v>
      </c>
      <c r="D83" t="s">
        <v>33</v>
      </c>
      <c r="E83" t="s">
        <v>34</v>
      </c>
      <c r="F83" t="s">
        <v>35</v>
      </c>
      <c r="G83" t="s">
        <v>78</v>
      </c>
    </row>
    <row r="84" spans="1:12" x14ac:dyDescent="0.25">
      <c r="C84" t="s">
        <v>37</v>
      </c>
      <c r="D84">
        <v>78</v>
      </c>
      <c r="E84">
        <v>82</v>
      </c>
      <c r="F84">
        <v>85</v>
      </c>
      <c r="G84" s="2">
        <f>AVERAGE(D84:F84)</f>
        <v>81.666666666666671</v>
      </c>
    </row>
    <row r="85" spans="1:12" x14ac:dyDescent="0.25">
      <c r="C85" t="s">
        <v>38</v>
      </c>
      <c r="D85">
        <v>88</v>
      </c>
      <c r="E85">
        <v>91</v>
      </c>
      <c r="F85">
        <v>90</v>
      </c>
      <c r="G85" s="2">
        <f>AVERAGE(D85:F85)</f>
        <v>89.666666666666671</v>
      </c>
    </row>
    <row r="86" spans="1:12" x14ac:dyDescent="0.25">
      <c r="C86" t="s">
        <v>39</v>
      </c>
      <c r="D86">
        <v>65</v>
      </c>
      <c r="E86">
        <v>70</v>
      </c>
      <c r="F86">
        <v>72</v>
      </c>
      <c r="G86" s="2">
        <f>AVERAGE(D86:F86)</f>
        <v>69</v>
      </c>
    </row>
    <row r="87" spans="1:12" x14ac:dyDescent="0.25">
      <c r="C87" t="s">
        <v>40</v>
      </c>
      <c r="D87">
        <v>92</v>
      </c>
      <c r="E87">
        <v>89</v>
      </c>
      <c r="F87">
        <v>94</v>
      </c>
      <c r="G87" s="2">
        <f>AVERAGE(D87:F87)</f>
        <v>91.666666666666671</v>
      </c>
    </row>
    <row r="88" spans="1:12" x14ac:dyDescent="0.25">
      <c r="C88" t="s">
        <v>41</v>
      </c>
      <c r="D88">
        <v>55</v>
      </c>
      <c r="E88">
        <v>60</v>
      </c>
      <c r="F88">
        <v>58</v>
      </c>
      <c r="G88" s="2">
        <f t="shared" ref="G88" si="3">AVERAGE(D88:F88)</f>
        <v>57.666666666666664</v>
      </c>
    </row>
    <row r="89" spans="1:12" x14ac:dyDescent="0.25">
      <c r="G89" s="2"/>
    </row>
    <row r="90" spans="1:12" x14ac:dyDescent="0.25">
      <c r="B90" t="s">
        <v>55</v>
      </c>
      <c r="L90">
        <v>2</v>
      </c>
    </row>
    <row r="91" spans="1:12" x14ac:dyDescent="0.25">
      <c r="A91" t="s">
        <v>72</v>
      </c>
    </row>
    <row r="92" spans="1:12" x14ac:dyDescent="0.25">
      <c r="B92" t="s">
        <v>31</v>
      </c>
      <c r="C92" t="s">
        <v>32</v>
      </c>
      <c r="D92" t="s">
        <v>33</v>
      </c>
      <c r="E92" t="s">
        <v>34</v>
      </c>
      <c r="F92" t="s">
        <v>35</v>
      </c>
      <c r="G92" t="s">
        <v>36</v>
      </c>
    </row>
    <row r="93" spans="1:12" x14ac:dyDescent="0.25">
      <c r="B93">
        <v>1</v>
      </c>
      <c r="C93" t="s">
        <v>37</v>
      </c>
      <c r="D93">
        <v>78</v>
      </c>
      <c r="E93">
        <v>82</v>
      </c>
      <c r="F93">
        <v>85</v>
      </c>
      <c r="G93">
        <v>92</v>
      </c>
    </row>
    <row r="94" spans="1:12" x14ac:dyDescent="0.25">
      <c r="B94">
        <v>2</v>
      </c>
      <c r="C94" t="s">
        <v>38</v>
      </c>
      <c r="D94">
        <v>88</v>
      </c>
      <c r="E94">
        <v>91</v>
      </c>
      <c r="F94">
        <v>90</v>
      </c>
      <c r="G94">
        <v>96</v>
      </c>
    </row>
    <row r="95" spans="1:12" x14ac:dyDescent="0.25">
      <c r="B95">
        <v>3</v>
      </c>
      <c r="C95" t="s">
        <v>39</v>
      </c>
      <c r="D95">
        <v>65</v>
      </c>
      <c r="E95">
        <v>70</v>
      </c>
      <c r="F95">
        <v>72</v>
      </c>
      <c r="G95">
        <v>85</v>
      </c>
    </row>
    <row r="96" spans="1:12" x14ac:dyDescent="0.25">
      <c r="B96">
        <v>4</v>
      </c>
      <c r="C96" t="s">
        <v>40</v>
      </c>
      <c r="D96">
        <v>92</v>
      </c>
      <c r="E96">
        <v>89</v>
      </c>
      <c r="F96">
        <v>94</v>
      </c>
      <c r="G96">
        <v>98</v>
      </c>
    </row>
    <row r="97" spans="1:12" x14ac:dyDescent="0.25">
      <c r="B97">
        <v>5</v>
      </c>
      <c r="C97" t="s">
        <v>41</v>
      </c>
      <c r="D97">
        <v>55</v>
      </c>
      <c r="E97">
        <v>60</v>
      </c>
      <c r="F97">
        <v>58</v>
      </c>
      <c r="G97">
        <v>80</v>
      </c>
    </row>
    <row r="99" spans="1:12" x14ac:dyDescent="0.25">
      <c r="B99" t="s">
        <v>56</v>
      </c>
      <c r="L99">
        <v>2</v>
      </c>
    </row>
    <row r="100" spans="1:12" x14ac:dyDescent="0.25">
      <c r="A100" t="s">
        <v>72</v>
      </c>
    </row>
    <row r="101" spans="1:12" x14ac:dyDescent="0.25">
      <c r="B101" t="s">
        <v>31</v>
      </c>
      <c r="C101" t="s">
        <v>32</v>
      </c>
      <c r="D101" t="s">
        <v>33</v>
      </c>
      <c r="E101" t="s">
        <v>34</v>
      </c>
      <c r="F101" t="s">
        <v>35</v>
      </c>
      <c r="G101" t="s">
        <v>36</v>
      </c>
      <c r="I101" t="s">
        <v>79</v>
      </c>
    </row>
    <row r="102" spans="1:12" x14ac:dyDescent="0.25">
      <c r="B102">
        <v>1</v>
      </c>
      <c r="C102" t="s">
        <v>37</v>
      </c>
      <c r="D102">
        <v>78</v>
      </c>
      <c r="E102">
        <v>82</v>
      </c>
      <c r="F102">
        <v>85</v>
      </c>
      <c r="G102">
        <v>92</v>
      </c>
      <c r="I102" t="str">
        <f>IF(G102&gt;=85,"Eligible","not elgible")</f>
        <v>Eligible</v>
      </c>
    </row>
    <row r="103" spans="1:12" x14ac:dyDescent="0.25">
      <c r="B103">
        <v>2</v>
      </c>
      <c r="C103" t="s">
        <v>38</v>
      </c>
      <c r="D103">
        <v>88</v>
      </c>
      <c r="E103">
        <v>91</v>
      </c>
      <c r="F103">
        <v>90</v>
      </c>
      <c r="G103">
        <v>96</v>
      </c>
      <c r="I103" t="str">
        <f t="shared" ref="I103:I106" si="4">IF(G103&gt;=85,"Eligible","not elgible")</f>
        <v>Eligible</v>
      </c>
    </row>
    <row r="104" spans="1:12" x14ac:dyDescent="0.25">
      <c r="B104">
        <v>3</v>
      </c>
      <c r="C104" t="s">
        <v>39</v>
      </c>
      <c r="D104">
        <v>65</v>
      </c>
      <c r="E104">
        <v>70</v>
      </c>
      <c r="F104">
        <v>72</v>
      </c>
      <c r="G104">
        <v>85</v>
      </c>
      <c r="I104" t="str">
        <f t="shared" si="4"/>
        <v>Eligible</v>
      </c>
    </row>
    <row r="105" spans="1:12" x14ac:dyDescent="0.25">
      <c r="B105">
        <v>4</v>
      </c>
      <c r="C105" t="s">
        <v>40</v>
      </c>
      <c r="D105">
        <v>92</v>
      </c>
      <c r="E105">
        <v>89</v>
      </c>
      <c r="F105">
        <v>94</v>
      </c>
      <c r="G105">
        <v>98</v>
      </c>
      <c r="I105" t="str">
        <f t="shared" si="4"/>
        <v>Eligible</v>
      </c>
    </row>
    <row r="106" spans="1:12" x14ac:dyDescent="0.25">
      <c r="B106">
        <v>5</v>
      </c>
      <c r="C106" t="s">
        <v>41</v>
      </c>
      <c r="D106">
        <v>55</v>
      </c>
      <c r="E106">
        <v>60</v>
      </c>
      <c r="F106">
        <v>58</v>
      </c>
      <c r="G106" s="5">
        <v>80</v>
      </c>
      <c r="H106" s="5"/>
      <c r="I106" s="5" t="str">
        <f t="shared" si="4"/>
        <v>not elgible</v>
      </c>
    </row>
    <row r="108" spans="1:12" x14ac:dyDescent="0.25">
      <c r="B108" t="s">
        <v>57</v>
      </c>
      <c r="L108">
        <v>2</v>
      </c>
    </row>
    <row r="109" spans="1:12" x14ac:dyDescent="0.25">
      <c r="A109" t="s">
        <v>72</v>
      </c>
      <c r="B109" s="3" t="s">
        <v>80</v>
      </c>
      <c r="C109" t="s">
        <v>82</v>
      </c>
    </row>
    <row r="110" spans="1:12" x14ac:dyDescent="0.25">
      <c r="B110" s="4" t="s">
        <v>13</v>
      </c>
      <c r="C110">
        <v>225000</v>
      </c>
    </row>
    <row r="111" spans="1:12" x14ac:dyDescent="0.25">
      <c r="B111" s="4" t="s">
        <v>17</v>
      </c>
      <c r="C111">
        <v>135000</v>
      </c>
    </row>
    <row r="112" spans="1:12" x14ac:dyDescent="0.25">
      <c r="B112" s="4" t="s">
        <v>21</v>
      </c>
      <c r="C112">
        <v>54000</v>
      </c>
    </row>
    <row r="113" spans="1:12" x14ac:dyDescent="0.25">
      <c r="B113" s="4" t="s">
        <v>81</v>
      </c>
      <c r="C113">
        <v>414000</v>
      </c>
    </row>
    <row r="115" spans="1:12" x14ac:dyDescent="0.25">
      <c r="B115" t="s">
        <v>58</v>
      </c>
      <c r="L115">
        <v>2</v>
      </c>
    </row>
    <row r="116" spans="1:12" x14ac:dyDescent="0.25">
      <c r="A116" t="s">
        <v>72</v>
      </c>
      <c r="B116" s="3" t="s">
        <v>80</v>
      </c>
      <c r="C116" t="s">
        <v>82</v>
      </c>
    </row>
    <row r="117" spans="1:12" x14ac:dyDescent="0.25">
      <c r="B117" s="4" t="s">
        <v>19</v>
      </c>
      <c r="C117">
        <v>54000</v>
      </c>
    </row>
    <row r="118" spans="1:12" x14ac:dyDescent="0.25">
      <c r="B118" s="4" t="s">
        <v>11</v>
      </c>
      <c r="C118">
        <v>150000</v>
      </c>
    </row>
    <row r="119" spans="1:12" x14ac:dyDescent="0.25">
      <c r="B119" s="4" t="s">
        <v>15</v>
      </c>
      <c r="C119">
        <v>165000</v>
      </c>
    </row>
    <row r="120" spans="1:12" x14ac:dyDescent="0.25">
      <c r="B120" s="4" t="s">
        <v>23</v>
      </c>
      <c r="C120">
        <v>45000</v>
      </c>
    </row>
    <row r="121" spans="1:12" x14ac:dyDescent="0.25">
      <c r="B121" s="4" t="s">
        <v>81</v>
      </c>
      <c r="C121">
        <v>414000</v>
      </c>
    </row>
    <row r="124" spans="1:12" x14ac:dyDescent="0.25">
      <c r="B124" t="s">
        <v>59</v>
      </c>
      <c r="L124">
        <v>2</v>
      </c>
    </row>
    <row r="125" spans="1:12" x14ac:dyDescent="0.25">
      <c r="A125" t="s">
        <v>72</v>
      </c>
    </row>
    <row r="136" spans="1:12" x14ac:dyDescent="0.25">
      <c r="B136" t="s">
        <v>60</v>
      </c>
      <c r="L136">
        <v>2</v>
      </c>
    </row>
    <row r="137" spans="1:12" x14ac:dyDescent="0.25">
      <c r="A137" t="s">
        <v>72</v>
      </c>
    </row>
    <row r="147" spans="1:12" x14ac:dyDescent="0.25">
      <c r="B147" t="s">
        <v>61</v>
      </c>
      <c r="L147">
        <v>2</v>
      </c>
    </row>
    <row r="148" spans="1:12" x14ac:dyDescent="0.25">
      <c r="A148" t="s">
        <v>72</v>
      </c>
      <c r="B148" t="s">
        <v>31</v>
      </c>
      <c r="C148" t="s">
        <v>32</v>
      </c>
      <c r="D148" t="s">
        <v>33</v>
      </c>
      <c r="E148" t="s">
        <v>34</v>
      </c>
      <c r="F148" t="s">
        <v>35</v>
      </c>
      <c r="G148" t="s">
        <v>36</v>
      </c>
      <c r="I148" s="6" t="s">
        <v>84</v>
      </c>
    </row>
    <row r="149" spans="1:12" x14ac:dyDescent="0.25">
      <c r="B149">
        <v>1</v>
      </c>
      <c r="C149" t="s">
        <v>37</v>
      </c>
      <c r="D149">
        <v>78</v>
      </c>
      <c r="E149">
        <v>82</v>
      </c>
      <c r="F149">
        <v>85</v>
      </c>
      <c r="G149">
        <v>92</v>
      </c>
      <c r="I149" s="6">
        <f>MEDIAN(E149:E153)</f>
        <v>82</v>
      </c>
    </row>
    <row r="150" spans="1:12" x14ac:dyDescent="0.25">
      <c r="B150">
        <v>2</v>
      </c>
      <c r="C150" t="s">
        <v>38</v>
      </c>
      <c r="D150">
        <v>88</v>
      </c>
      <c r="E150">
        <v>91</v>
      </c>
      <c r="F150">
        <v>90</v>
      </c>
      <c r="G150">
        <v>96</v>
      </c>
    </row>
    <row r="151" spans="1:12" x14ac:dyDescent="0.25">
      <c r="B151">
        <v>3</v>
      </c>
      <c r="C151" t="s">
        <v>39</v>
      </c>
      <c r="D151">
        <v>65</v>
      </c>
      <c r="E151">
        <v>70</v>
      </c>
      <c r="F151">
        <v>72</v>
      </c>
      <c r="G151">
        <v>85</v>
      </c>
    </row>
    <row r="152" spans="1:12" x14ac:dyDescent="0.25">
      <c r="B152">
        <v>4</v>
      </c>
      <c r="C152" t="s">
        <v>40</v>
      </c>
      <c r="D152">
        <v>92</v>
      </c>
      <c r="E152">
        <v>89</v>
      </c>
      <c r="F152">
        <v>94</v>
      </c>
      <c r="G152">
        <v>98</v>
      </c>
    </row>
    <row r="153" spans="1:12" x14ac:dyDescent="0.25">
      <c r="B153">
        <v>5</v>
      </c>
      <c r="C153" t="s">
        <v>41</v>
      </c>
      <c r="D153">
        <v>55</v>
      </c>
      <c r="E153">
        <v>60</v>
      </c>
      <c r="F153">
        <v>58</v>
      </c>
      <c r="G153">
        <v>80</v>
      </c>
    </row>
    <row r="155" spans="1:12" x14ac:dyDescent="0.25">
      <c r="B155" t="s">
        <v>62</v>
      </c>
      <c r="L155">
        <v>2</v>
      </c>
    </row>
    <row r="156" spans="1:12" x14ac:dyDescent="0.25">
      <c r="A156" t="s">
        <v>72</v>
      </c>
      <c r="B156" t="s">
        <v>31</v>
      </c>
      <c r="C156" t="s">
        <v>32</v>
      </c>
      <c r="D156" t="s">
        <v>33</v>
      </c>
      <c r="E156" t="s">
        <v>34</v>
      </c>
      <c r="F156" t="s">
        <v>35</v>
      </c>
      <c r="G156" t="s">
        <v>36</v>
      </c>
      <c r="I156" s="6" t="s">
        <v>85</v>
      </c>
    </row>
    <row r="157" spans="1:12" x14ac:dyDescent="0.25">
      <c r="B157">
        <v>1</v>
      </c>
      <c r="C157" t="s">
        <v>37</v>
      </c>
      <c r="D157">
        <v>78</v>
      </c>
      <c r="E157">
        <v>82</v>
      </c>
      <c r="F157">
        <v>85</v>
      </c>
      <c r="G157">
        <v>92</v>
      </c>
      <c r="I157" s="7">
        <f>STDEV(F157:F161)</f>
        <v>14.737706741552426</v>
      </c>
    </row>
    <row r="158" spans="1:12" x14ac:dyDescent="0.25">
      <c r="B158">
        <v>2</v>
      </c>
      <c r="C158" t="s">
        <v>38</v>
      </c>
      <c r="D158">
        <v>88</v>
      </c>
      <c r="E158">
        <v>91</v>
      </c>
      <c r="F158">
        <v>90</v>
      </c>
      <c r="G158">
        <v>96</v>
      </c>
    </row>
    <row r="159" spans="1:12" x14ac:dyDescent="0.25">
      <c r="B159">
        <v>3</v>
      </c>
      <c r="C159" t="s">
        <v>39</v>
      </c>
      <c r="D159">
        <v>65</v>
      </c>
      <c r="E159">
        <v>70</v>
      </c>
      <c r="F159">
        <v>72</v>
      </c>
      <c r="G159">
        <v>85</v>
      </c>
    </row>
    <row r="160" spans="1:12" x14ac:dyDescent="0.25">
      <c r="B160">
        <v>4</v>
      </c>
      <c r="C160" t="s">
        <v>40</v>
      </c>
      <c r="D160">
        <v>92</v>
      </c>
      <c r="E160">
        <v>89</v>
      </c>
      <c r="F160">
        <v>94</v>
      </c>
      <c r="G160">
        <v>98</v>
      </c>
    </row>
    <row r="161" spans="1:12" x14ac:dyDescent="0.25">
      <c r="B161">
        <v>5</v>
      </c>
      <c r="C161" t="s">
        <v>41</v>
      </c>
      <c r="D161">
        <v>55</v>
      </c>
      <c r="E161">
        <v>60</v>
      </c>
      <c r="F161">
        <v>58</v>
      </c>
      <c r="G161">
        <v>80</v>
      </c>
    </row>
    <row r="163" spans="1:12" x14ac:dyDescent="0.25">
      <c r="B163" t="s">
        <v>90</v>
      </c>
      <c r="L163">
        <v>2</v>
      </c>
    </row>
    <row r="164" spans="1:12" x14ac:dyDescent="0.25">
      <c r="A164" t="s">
        <v>72</v>
      </c>
      <c r="B164" t="s">
        <v>31</v>
      </c>
      <c r="C164" t="s">
        <v>32</v>
      </c>
      <c r="D164" t="s">
        <v>91</v>
      </c>
    </row>
    <row r="165" spans="1:12" x14ac:dyDescent="0.25">
      <c r="B165">
        <v>1</v>
      </c>
      <c r="C165" t="s">
        <v>37</v>
      </c>
      <c r="D165" t="str">
        <f>_xlfn.CONCAT(B165,"-",C165)</f>
        <v>1-Rahul</v>
      </c>
    </row>
    <row r="166" spans="1:12" x14ac:dyDescent="0.25">
      <c r="B166">
        <v>2</v>
      </c>
      <c r="C166" t="s">
        <v>38</v>
      </c>
      <c r="D166" t="str">
        <f t="shared" ref="D166:D169" si="5">_xlfn.CONCAT(B166,"-",C166)</f>
        <v>2-Sneha</v>
      </c>
    </row>
    <row r="167" spans="1:12" x14ac:dyDescent="0.25">
      <c r="B167">
        <v>3</v>
      </c>
      <c r="C167" t="s">
        <v>39</v>
      </c>
      <c r="D167" t="str">
        <f t="shared" si="5"/>
        <v>3-Arjun</v>
      </c>
    </row>
    <row r="168" spans="1:12" x14ac:dyDescent="0.25">
      <c r="B168">
        <v>4</v>
      </c>
      <c r="C168" t="s">
        <v>40</v>
      </c>
      <c r="D168" t="str">
        <f t="shared" si="5"/>
        <v>4-Pooja</v>
      </c>
    </row>
    <row r="169" spans="1:12" x14ac:dyDescent="0.25">
      <c r="B169">
        <v>5</v>
      </c>
      <c r="C169" t="s">
        <v>41</v>
      </c>
      <c r="D169" t="str">
        <f t="shared" si="5"/>
        <v>5-Vikas</v>
      </c>
    </row>
    <row r="171" spans="1:12" x14ac:dyDescent="0.25">
      <c r="B171" t="s">
        <v>63</v>
      </c>
      <c r="L171">
        <v>2</v>
      </c>
    </row>
    <row r="172" spans="1:12" x14ac:dyDescent="0.25">
      <c r="A172" t="s">
        <v>72</v>
      </c>
      <c r="C172" s="8" t="s">
        <v>6</v>
      </c>
      <c r="D172" t="s">
        <v>86</v>
      </c>
    </row>
    <row r="173" spans="1:12" x14ac:dyDescent="0.25">
      <c r="C173" t="s">
        <v>12</v>
      </c>
      <c r="D173" t="str">
        <f>LEFT(C173,2)</f>
        <v>Am</v>
      </c>
    </row>
    <row r="174" spans="1:12" x14ac:dyDescent="0.25">
      <c r="C174" t="s">
        <v>16</v>
      </c>
      <c r="D174" t="str">
        <f t="shared" ref="D174:D178" si="6">LEFT(C174,2)</f>
        <v>Ri</v>
      </c>
    </row>
    <row r="175" spans="1:12" x14ac:dyDescent="0.25">
      <c r="C175" t="s">
        <v>20</v>
      </c>
      <c r="D175" t="str">
        <f t="shared" si="6"/>
        <v>Ku</v>
      </c>
    </row>
    <row r="176" spans="1:12" x14ac:dyDescent="0.25">
      <c r="C176" t="s">
        <v>24</v>
      </c>
      <c r="D176" t="str">
        <f t="shared" si="6"/>
        <v>Ne</v>
      </c>
    </row>
    <row r="177" spans="1:12" x14ac:dyDescent="0.25">
      <c r="C177" t="s">
        <v>12</v>
      </c>
      <c r="D177" t="str">
        <f t="shared" si="6"/>
        <v>Am</v>
      </c>
    </row>
    <row r="178" spans="1:12" x14ac:dyDescent="0.25">
      <c r="C178" t="s">
        <v>16</v>
      </c>
      <c r="D178" t="str">
        <f t="shared" si="6"/>
        <v>Ri</v>
      </c>
    </row>
    <row r="180" spans="1:12" x14ac:dyDescent="0.25">
      <c r="B180" t="s">
        <v>64</v>
      </c>
      <c r="L180">
        <v>2</v>
      </c>
    </row>
    <row r="181" spans="1:12" x14ac:dyDescent="0.25">
      <c r="A181" t="s">
        <v>72</v>
      </c>
    </row>
    <row r="182" spans="1:12" x14ac:dyDescent="0.25">
      <c r="B182" t="s">
        <v>73</v>
      </c>
    </row>
    <row r="183" spans="1:12" x14ac:dyDescent="0.25">
      <c r="B183">
        <v>90000</v>
      </c>
    </row>
    <row r="184" spans="1:12" x14ac:dyDescent="0.25">
      <c r="B184">
        <v>90000</v>
      </c>
    </row>
    <row r="185" spans="1:12" x14ac:dyDescent="0.25">
      <c r="B185">
        <v>75000</v>
      </c>
    </row>
    <row r="186" spans="1:12" x14ac:dyDescent="0.25">
      <c r="B186">
        <v>60000</v>
      </c>
    </row>
    <row r="187" spans="1:12" x14ac:dyDescent="0.25">
      <c r="B187">
        <v>54000</v>
      </c>
    </row>
    <row r="188" spans="1:12" x14ac:dyDescent="0.25">
      <c r="B188">
        <v>45000</v>
      </c>
    </row>
    <row r="190" spans="1:12" x14ac:dyDescent="0.25">
      <c r="B190" t="s">
        <v>65</v>
      </c>
      <c r="L190">
        <v>2</v>
      </c>
    </row>
    <row r="191" spans="1:12" x14ac:dyDescent="0.25">
      <c r="A191" t="s">
        <v>72</v>
      </c>
      <c r="C191" t="s">
        <v>6</v>
      </c>
      <c r="D191" t="s">
        <v>7</v>
      </c>
      <c r="E191" t="s">
        <v>8</v>
      </c>
    </row>
    <row r="192" spans="1:12" hidden="1" x14ac:dyDescent="0.25">
      <c r="C192" t="s">
        <v>12</v>
      </c>
      <c r="D192" t="s">
        <v>13</v>
      </c>
      <c r="E192">
        <v>2</v>
      </c>
    </row>
    <row r="193" spans="1:12" hidden="1" x14ac:dyDescent="0.25">
      <c r="C193" t="s">
        <v>16</v>
      </c>
      <c r="D193" t="s">
        <v>17</v>
      </c>
      <c r="E193">
        <v>5</v>
      </c>
    </row>
    <row r="194" spans="1:12" hidden="1" x14ac:dyDescent="0.25">
      <c r="C194" t="s">
        <v>20</v>
      </c>
      <c r="D194" t="s">
        <v>21</v>
      </c>
      <c r="E194">
        <v>3</v>
      </c>
    </row>
    <row r="195" spans="1:12" x14ac:dyDescent="0.25">
      <c r="C195" t="s">
        <v>24</v>
      </c>
      <c r="D195" t="s">
        <v>13</v>
      </c>
      <c r="E195">
        <v>1</v>
      </c>
    </row>
    <row r="196" spans="1:12" hidden="1" x14ac:dyDescent="0.25">
      <c r="C196" t="s">
        <v>12</v>
      </c>
      <c r="D196" t="s">
        <v>17</v>
      </c>
      <c r="E196">
        <v>4</v>
      </c>
    </row>
    <row r="197" spans="1:12" hidden="1" x14ac:dyDescent="0.25">
      <c r="C197" t="s">
        <v>16</v>
      </c>
      <c r="D197" t="s">
        <v>13</v>
      </c>
      <c r="E197">
        <v>2</v>
      </c>
    </row>
    <row r="199" spans="1:12" x14ac:dyDescent="0.25">
      <c r="B199" t="s">
        <v>66</v>
      </c>
      <c r="L199">
        <v>2</v>
      </c>
    </row>
    <row r="200" spans="1:12" x14ac:dyDescent="0.25">
      <c r="A200" t="s">
        <v>72</v>
      </c>
      <c r="C200" s="6">
        <f>COUNTIFS(Sales_Data!B2:B7,"North",Sales_Data!D2:D7,"Laptop")</f>
        <v>1</v>
      </c>
    </row>
    <row r="203" spans="1:12" x14ac:dyDescent="0.25">
      <c r="B203" t="s">
        <v>67</v>
      </c>
      <c r="L203">
        <v>2</v>
      </c>
    </row>
    <row r="204" spans="1:12" x14ac:dyDescent="0.25">
      <c r="A204" t="s">
        <v>72</v>
      </c>
      <c r="B204" t="s">
        <v>9</v>
      </c>
      <c r="C204" s="6" t="s">
        <v>87</v>
      </c>
    </row>
    <row r="205" spans="1:12" x14ac:dyDescent="0.25">
      <c r="B205">
        <v>45000</v>
      </c>
      <c r="C205" s="6">
        <f>ROUND(B205,3)</f>
        <v>45000</v>
      </c>
    </row>
    <row r="206" spans="1:12" x14ac:dyDescent="0.25">
      <c r="B206">
        <v>15000</v>
      </c>
      <c r="C206" s="6">
        <f t="shared" ref="C206:C210" si="7">ROUND(B206,3)</f>
        <v>15000</v>
      </c>
    </row>
    <row r="207" spans="1:12" x14ac:dyDescent="0.25">
      <c r="B207">
        <v>18000</v>
      </c>
      <c r="C207" s="6">
        <f t="shared" si="7"/>
        <v>18000</v>
      </c>
    </row>
    <row r="208" spans="1:12" x14ac:dyDescent="0.25">
      <c r="B208">
        <v>45000</v>
      </c>
      <c r="C208" s="6">
        <f t="shared" si="7"/>
        <v>45000</v>
      </c>
    </row>
    <row r="209" spans="1:12" x14ac:dyDescent="0.25">
      <c r="B209">
        <v>15000</v>
      </c>
      <c r="C209" s="6">
        <f t="shared" si="7"/>
        <v>15000</v>
      </c>
    </row>
    <row r="210" spans="1:12" x14ac:dyDescent="0.25">
      <c r="B210">
        <v>45000</v>
      </c>
      <c r="C210" s="6">
        <f t="shared" si="7"/>
        <v>45000</v>
      </c>
    </row>
    <row r="213" spans="1:12" x14ac:dyDescent="0.25">
      <c r="B213" t="s">
        <v>68</v>
      </c>
      <c r="L213">
        <v>2</v>
      </c>
    </row>
    <row r="214" spans="1:12" x14ac:dyDescent="0.25">
      <c r="A214" t="s">
        <v>72</v>
      </c>
    </row>
    <row r="215" spans="1:12" x14ac:dyDescent="0.25">
      <c r="B215" t="s">
        <v>4</v>
      </c>
      <c r="C215" t="s">
        <v>5</v>
      </c>
      <c r="D215" t="s">
        <v>6</v>
      </c>
      <c r="E215" t="s">
        <v>7</v>
      </c>
      <c r="F215" t="s">
        <v>8</v>
      </c>
      <c r="G215" t="s">
        <v>9</v>
      </c>
      <c r="H215" t="s">
        <v>10</v>
      </c>
    </row>
    <row r="216" spans="1:12" x14ac:dyDescent="0.25">
      <c r="B216">
        <v>301</v>
      </c>
      <c r="C216" t="s">
        <v>11</v>
      </c>
      <c r="D216" t="s">
        <v>12</v>
      </c>
      <c r="E216" t="s">
        <v>13</v>
      </c>
      <c r="F216">
        <v>2</v>
      </c>
      <c r="G216">
        <v>45000</v>
      </c>
      <c r="H216" t="s">
        <v>14</v>
      </c>
    </row>
    <row r="217" spans="1:12" x14ac:dyDescent="0.25">
      <c r="B217">
        <v>302</v>
      </c>
      <c r="C217" t="s">
        <v>15</v>
      </c>
      <c r="D217" t="s">
        <v>16</v>
      </c>
      <c r="E217" t="s">
        <v>17</v>
      </c>
      <c r="F217">
        <v>5</v>
      </c>
      <c r="G217">
        <v>15000</v>
      </c>
      <c r="H217" t="s">
        <v>18</v>
      </c>
    </row>
    <row r="218" spans="1:12" x14ac:dyDescent="0.25">
      <c r="B218">
        <v>303</v>
      </c>
      <c r="C218" t="s">
        <v>19</v>
      </c>
      <c r="D218" t="s">
        <v>20</v>
      </c>
      <c r="E218" t="s">
        <v>21</v>
      </c>
      <c r="F218">
        <v>3</v>
      </c>
      <c r="G218">
        <v>18000</v>
      </c>
      <c r="H218" t="s">
        <v>22</v>
      </c>
    </row>
    <row r="219" spans="1:12" x14ac:dyDescent="0.25">
      <c r="B219">
        <v>304</v>
      </c>
      <c r="C219" t="s">
        <v>23</v>
      </c>
      <c r="D219" t="s">
        <v>24</v>
      </c>
      <c r="E219" t="s">
        <v>13</v>
      </c>
      <c r="F219">
        <v>1</v>
      </c>
      <c r="G219">
        <v>45000</v>
      </c>
      <c r="H219" t="s">
        <v>25</v>
      </c>
    </row>
    <row r="220" spans="1:12" x14ac:dyDescent="0.25">
      <c r="B220">
        <v>305</v>
      </c>
      <c r="C220" t="s">
        <v>11</v>
      </c>
      <c r="D220" t="s">
        <v>12</v>
      </c>
      <c r="E220" t="s">
        <v>17</v>
      </c>
      <c r="F220">
        <v>4</v>
      </c>
      <c r="G220">
        <v>15000</v>
      </c>
      <c r="H220" t="s">
        <v>26</v>
      </c>
    </row>
    <row r="221" spans="1:12" x14ac:dyDescent="0.25">
      <c r="B221">
        <v>306</v>
      </c>
      <c r="C221" t="s">
        <v>15</v>
      </c>
      <c r="D221" t="s">
        <v>16</v>
      </c>
      <c r="E221" t="s">
        <v>13</v>
      </c>
      <c r="F221">
        <v>2</v>
      </c>
      <c r="G221">
        <v>45000</v>
      </c>
      <c r="H221" t="s">
        <v>27</v>
      </c>
    </row>
    <row r="223" spans="1:12" x14ac:dyDescent="0.25">
      <c r="B223" t="s">
        <v>69</v>
      </c>
      <c r="L223">
        <v>2</v>
      </c>
    </row>
    <row r="224" spans="1:12" x14ac:dyDescent="0.25">
      <c r="A224" t="s">
        <v>72</v>
      </c>
    </row>
    <row r="225" spans="1:12" x14ac:dyDescent="0.25">
      <c r="B225" t="s">
        <v>4</v>
      </c>
      <c r="C225" t="s">
        <v>5</v>
      </c>
      <c r="D225" t="s">
        <v>6</v>
      </c>
      <c r="E225" t="s">
        <v>7</v>
      </c>
      <c r="F225" t="s">
        <v>8</v>
      </c>
      <c r="G225" t="s">
        <v>9</v>
      </c>
      <c r="H225" t="s">
        <v>10</v>
      </c>
    </row>
    <row r="226" spans="1:12" x14ac:dyDescent="0.25">
      <c r="B226">
        <v>301</v>
      </c>
      <c r="C226" t="s">
        <v>11</v>
      </c>
      <c r="D226" t="s">
        <v>12</v>
      </c>
      <c r="E226" t="s">
        <v>13</v>
      </c>
      <c r="F226">
        <v>2</v>
      </c>
      <c r="G226">
        <v>45000</v>
      </c>
      <c r="H226" t="s">
        <v>14</v>
      </c>
    </row>
    <row r="227" spans="1:12" x14ac:dyDescent="0.25">
      <c r="B227">
        <v>302</v>
      </c>
      <c r="C227" t="s">
        <v>15</v>
      </c>
      <c r="D227" t="s">
        <v>16</v>
      </c>
      <c r="E227" t="s">
        <v>17</v>
      </c>
      <c r="F227">
        <v>5</v>
      </c>
      <c r="G227">
        <v>15000</v>
      </c>
      <c r="H227" t="s">
        <v>18</v>
      </c>
    </row>
    <row r="228" spans="1:12" x14ac:dyDescent="0.25">
      <c r="B228">
        <v>303</v>
      </c>
      <c r="C228" t="s">
        <v>19</v>
      </c>
      <c r="D228" t="s">
        <v>20</v>
      </c>
      <c r="E228" t="s">
        <v>21</v>
      </c>
      <c r="F228">
        <v>3</v>
      </c>
      <c r="G228">
        <v>18000</v>
      </c>
      <c r="H228" t="s">
        <v>22</v>
      </c>
    </row>
    <row r="229" spans="1:12" x14ac:dyDescent="0.25">
      <c r="B229">
        <v>304</v>
      </c>
      <c r="C229" t="s">
        <v>23</v>
      </c>
      <c r="D229" t="s">
        <v>24</v>
      </c>
      <c r="E229" t="s">
        <v>13</v>
      </c>
      <c r="F229">
        <v>1</v>
      </c>
      <c r="G229">
        <v>45000</v>
      </c>
      <c r="H229" t="s">
        <v>25</v>
      </c>
    </row>
    <row r="230" spans="1:12" x14ac:dyDescent="0.25">
      <c r="B230">
        <v>305</v>
      </c>
      <c r="C230" t="s">
        <v>11</v>
      </c>
      <c r="D230" t="s">
        <v>12</v>
      </c>
      <c r="E230" t="s">
        <v>17</v>
      </c>
      <c r="F230">
        <v>4</v>
      </c>
      <c r="G230">
        <v>15000</v>
      </c>
      <c r="H230" t="s">
        <v>26</v>
      </c>
    </row>
    <row r="231" spans="1:12" x14ac:dyDescent="0.25">
      <c r="B231">
        <v>306</v>
      </c>
      <c r="C231" t="s">
        <v>15</v>
      </c>
      <c r="D231" t="s">
        <v>16</v>
      </c>
      <c r="E231" t="s">
        <v>13</v>
      </c>
      <c r="F231">
        <v>2</v>
      </c>
      <c r="G231">
        <v>45000</v>
      </c>
      <c r="H231" t="s">
        <v>27</v>
      </c>
    </row>
    <row r="233" spans="1:12" x14ac:dyDescent="0.25">
      <c r="B233" t="s">
        <v>70</v>
      </c>
      <c r="L233">
        <v>2</v>
      </c>
    </row>
    <row r="234" spans="1:12" x14ac:dyDescent="0.25">
      <c r="A234" t="s">
        <v>72</v>
      </c>
    </row>
    <row r="235" spans="1:12" x14ac:dyDescent="0.25">
      <c r="B235" t="s">
        <v>31</v>
      </c>
      <c r="C235" t="s">
        <v>32</v>
      </c>
      <c r="D235" t="s">
        <v>33</v>
      </c>
      <c r="E235" t="s">
        <v>34</v>
      </c>
      <c r="F235" t="s">
        <v>35</v>
      </c>
      <c r="G235" t="s">
        <v>36</v>
      </c>
      <c r="L235">
        <f>SUM(L1:L233)</f>
        <v>60</v>
      </c>
    </row>
    <row r="236" spans="1:12" x14ac:dyDescent="0.25">
      <c r="B236">
        <v>1</v>
      </c>
      <c r="C236" t="s">
        <v>37</v>
      </c>
      <c r="D236">
        <v>78</v>
      </c>
      <c r="E236">
        <v>82</v>
      </c>
      <c r="F236">
        <v>85</v>
      </c>
      <c r="G236">
        <v>92</v>
      </c>
    </row>
    <row r="237" spans="1:12" x14ac:dyDescent="0.25">
      <c r="B237">
        <v>2</v>
      </c>
      <c r="C237" t="s">
        <v>38</v>
      </c>
      <c r="D237">
        <v>88</v>
      </c>
      <c r="E237">
        <v>91</v>
      </c>
      <c r="F237">
        <v>90</v>
      </c>
      <c r="G237">
        <v>96</v>
      </c>
    </row>
    <row r="238" spans="1:12" x14ac:dyDescent="0.25">
      <c r="B238">
        <v>3</v>
      </c>
      <c r="C238" t="s">
        <v>39</v>
      </c>
      <c r="D238">
        <v>65</v>
      </c>
      <c r="E238">
        <v>70</v>
      </c>
      <c r="F238">
        <v>72</v>
      </c>
      <c r="G238">
        <v>85</v>
      </c>
    </row>
    <row r="239" spans="1:12" x14ac:dyDescent="0.25">
      <c r="B239">
        <v>4</v>
      </c>
      <c r="C239" t="s">
        <v>40</v>
      </c>
      <c r="D239">
        <v>92</v>
      </c>
      <c r="E239">
        <v>89</v>
      </c>
      <c r="F239">
        <v>94</v>
      </c>
      <c r="G239">
        <v>98</v>
      </c>
    </row>
    <row r="240" spans="1:12" x14ac:dyDescent="0.25">
      <c r="B240">
        <v>5</v>
      </c>
      <c r="C240" t="s">
        <v>41</v>
      </c>
      <c r="D240">
        <v>55</v>
      </c>
      <c r="E240">
        <v>60</v>
      </c>
      <c r="F240">
        <v>58</v>
      </c>
      <c r="G240">
        <v>80</v>
      </c>
    </row>
  </sheetData>
  <sortState xmlns:xlrd2="http://schemas.microsoft.com/office/spreadsheetml/2017/richdata2" ref="A59:L66">
    <sortCondition descending="1" ref="J59:J66"/>
  </sortState>
  <conditionalFormatting sqref="B183:B188">
    <cfRule type="cellIs" dxfId="2" priority="1" operator="greaterThan">
      <formula>60000</formula>
    </cfRule>
  </conditionalFormatting>
  <conditionalFormatting sqref="G84:G89">
    <cfRule type="cellIs" dxfId="1" priority="4" operator="greaterThan">
      <formula>90</formula>
    </cfRule>
  </conditionalFormatting>
  <conditionalFormatting sqref="G93:G97">
    <cfRule type="cellIs" dxfId="0" priority="3" operator="greaterThan">
      <formula>90</formula>
    </cfRule>
  </conditionalFormatting>
  <pageMargins left="0.75" right="0.75" top="1" bottom="1" header="0.5" footer="0.5"/>
  <pageSetup orientation="portrait" r:id="rId3"/>
  <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Sales_Data</vt:lpstr>
      <vt:lpstr>Product_Master</vt:lpstr>
      <vt:lpstr>Student_Marks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ASDC47</cp:lastModifiedBy>
  <dcterms:created xsi:type="dcterms:W3CDTF">2025-12-20T09:26:06Z</dcterms:created>
  <dcterms:modified xsi:type="dcterms:W3CDTF">2026-07-15T05:24:31Z</dcterms:modified>
</cp:coreProperties>
</file>